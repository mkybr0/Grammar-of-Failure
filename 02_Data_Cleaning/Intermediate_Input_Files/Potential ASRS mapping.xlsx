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mi\Documents\Grad School\UVA MSBA\Course Materials\7218 Capstone I Solution Design_26Su\Capstone Project\"/>
    </mc:Choice>
  </mc:AlternateContent>
  <xr:revisionPtr revIDLastSave="0" documentId="13_ncr:1_{7C2E424B-D3F8-4640-ABBB-C5C8D026D5E7}" xr6:coauthVersionLast="47" xr6:coauthVersionMax="47" xr10:uidLastSave="{00000000-0000-0000-0000-000000000000}"/>
  <bookViews>
    <workbookView xWindow="-108" yWindow="12852" windowWidth="23256" windowHeight="12576" activeTab="1" xr2:uid="{B79D402C-C808-4BC9-9177-7FBE5ACDBC16}"/>
  </bookViews>
  <sheets>
    <sheet name="Mapping" sheetId="1" r:id="rId1"/>
    <sheet name="Mapping w conca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5" i="3" l="1"/>
  <c r="J115" i="3" s="1"/>
  <c r="E115" i="3"/>
  <c r="G114" i="3"/>
  <c r="E114" i="3"/>
  <c r="J114" i="3" s="1"/>
  <c r="G113" i="3"/>
  <c r="E113" i="3"/>
  <c r="J113" i="3" s="1"/>
  <c r="J112" i="3"/>
  <c r="G112" i="3"/>
  <c r="E112" i="3"/>
  <c r="G111" i="3"/>
  <c r="J111" i="3" s="1"/>
  <c r="E111" i="3"/>
  <c r="J110" i="3"/>
  <c r="G110" i="3"/>
  <c r="E110" i="3"/>
  <c r="G109" i="3"/>
  <c r="E109" i="3"/>
  <c r="J109" i="3" s="1"/>
  <c r="J108" i="3"/>
  <c r="G108" i="3"/>
  <c r="E108" i="3"/>
  <c r="G107" i="3"/>
  <c r="J107" i="3" s="1"/>
  <c r="E107" i="3"/>
  <c r="G106" i="3"/>
  <c r="E106" i="3"/>
  <c r="J106" i="3" s="1"/>
  <c r="G105" i="3"/>
  <c r="E105" i="3"/>
  <c r="J105" i="3" s="1"/>
  <c r="J104" i="3"/>
  <c r="G104" i="3"/>
  <c r="E104" i="3"/>
  <c r="G103" i="3"/>
  <c r="J103" i="3" s="1"/>
  <c r="E103" i="3"/>
  <c r="J102" i="3"/>
  <c r="G102" i="3"/>
  <c r="E102" i="3"/>
  <c r="G101" i="3"/>
  <c r="E101" i="3"/>
  <c r="J101" i="3" s="1"/>
  <c r="J100" i="3"/>
  <c r="G100" i="3"/>
  <c r="E100" i="3"/>
  <c r="G99" i="3"/>
  <c r="J99" i="3" s="1"/>
  <c r="E99" i="3"/>
  <c r="G98" i="3"/>
  <c r="E98" i="3"/>
  <c r="J98" i="3" s="1"/>
  <c r="G97" i="3"/>
  <c r="E97" i="3"/>
  <c r="J97" i="3" s="1"/>
  <c r="J96" i="3"/>
  <c r="G96" i="3"/>
  <c r="E96" i="3"/>
  <c r="G95" i="3"/>
  <c r="J95" i="3" s="1"/>
  <c r="E95" i="3"/>
  <c r="J94" i="3"/>
  <c r="G94" i="3"/>
  <c r="E94" i="3"/>
  <c r="G93" i="3"/>
  <c r="E93" i="3"/>
  <c r="J93" i="3" s="1"/>
  <c r="J92" i="3"/>
  <c r="G92" i="3"/>
  <c r="E92" i="3"/>
  <c r="G91" i="3"/>
  <c r="J91" i="3" s="1"/>
  <c r="E91" i="3"/>
  <c r="G90" i="3"/>
  <c r="E90" i="3"/>
  <c r="J90" i="3" s="1"/>
  <c r="G89" i="3"/>
  <c r="E89" i="3"/>
  <c r="J89" i="3" s="1"/>
  <c r="J88" i="3"/>
  <c r="G88" i="3"/>
  <c r="E88" i="3"/>
  <c r="G87" i="3"/>
  <c r="J87" i="3" s="1"/>
  <c r="E87" i="3"/>
  <c r="J86" i="3"/>
  <c r="G86" i="3"/>
  <c r="E86" i="3"/>
  <c r="G85" i="3"/>
  <c r="E85" i="3"/>
  <c r="J85" i="3" s="1"/>
  <c r="J84" i="3"/>
  <c r="G84" i="3"/>
  <c r="E84" i="3"/>
  <c r="G83" i="3"/>
  <c r="J83" i="3" s="1"/>
  <c r="E83" i="3"/>
  <c r="G82" i="3"/>
  <c r="E82" i="3"/>
  <c r="J82" i="3" s="1"/>
  <c r="G81" i="3"/>
  <c r="E81" i="3"/>
  <c r="J81" i="3" s="1"/>
  <c r="J80" i="3"/>
  <c r="G80" i="3"/>
  <c r="E80" i="3"/>
  <c r="G79" i="3"/>
  <c r="J79" i="3" s="1"/>
  <c r="E79" i="3"/>
  <c r="J78" i="3"/>
  <c r="G78" i="3"/>
  <c r="E78" i="3"/>
  <c r="G77" i="3"/>
  <c r="E77" i="3"/>
  <c r="J77" i="3" s="1"/>
  <c r="J76" i="3"/>
  <c r="G76" i="3"/>
  <c r="E76" i="3"/>
  <c r="G75" i="3"/>
  <c r="J75" i="3" s="1"/>
  <c r="E75" i="3"/>
  <c r="G74" i="3"/>
  <c r="E74" i="3"/>
  <c r="J74" i="3" s="1"/>
  <c r="G73" i="3"/>
  <c r="E73" i="3"/>
  <c r="J73" i="3" s="1"/>
  <c r="J72" i="3"/>
  <c r="G72" i="3"/>
  <c r="E72" i="3"/>
  <c r="G71" i="3"/>
  <c r="J71" i="3" s="1"/>
  <c r="E71" i="3"/>
  <c r="J70" i="3"/>
  <c r="G70" i="3"/>
  <c r="E70" i="3"/>
  <c r="G69" i="3"/>
  <c r="E69" i="3"/>
  <c r="J69" i="3" s="1"/>
  <c r="J68" i="3"/>
  <c r="G68" i="3"/>
  <c r="E68" i="3"/>
  <c r="G67" i="3"/>
  <c r="J67" i="3" s="1"/>
  <c r="E67" i="3"/>
  <c r="G66" i="3"/>
  <c r="E66" i="3"/>
  <c r="J66" i="3" s="1"/>
  <c r="G65" i="3"/>
  <c r="E65" i="3"/>
  <c r="J65" i="3" s="1"/>
  <c r="J64" i="3"/>
  <c r="G64" i="3"/>
  <c r="E64" i="3"/>
  <c r="G63" i="3"/>
  <c r="J63" i="3" s="1"/>
  <c r="E63" i="3"/>
  <c r="J62" i="3"/>
  <c r="G62" i="3"/>
  <c r="E62" i="3"/>
  <c r="G61" i="3"/>
  <c r="E61" i="3"/>
  <c r="J61" i="3" s="1"/>
  <c r="J60" i="3"/>
  <c r="G60" i="3"/>
  <c r="E60" i="3"/>
  <c r="G59" i="3"/>
  <c r="J59" i="3" s="1"/>
  <c r="E59" i="3"/>
  <c r="G58" i="3"/>
  <c r="E58" i="3"/>
  <c r="J58" i="3" s="1"/>
  <c r="G57" i="3"/>
  <c r="E57" i="3"/>
  <c r="J57" i="3" s="1"/>
  <c r="J56" i="3"/>
  <c r="G56" i="3"/>
  <c r="E56" i="3"/>
  <c r="G55" i="3"/>
  <c r="J55" i="3" s="1"/>
  <c r="E55" i="3"/>
  <c r="J54" i="3"/>
  <c r="G54" i="3"/>
  <c r="E54" i="3"/>
  <c r="G53" i="3"/>
  <c r="E53" i="3"/>
  <c r="J53" i="3" s="1"/>
  <c r="J52" i="3"/>
  <c r="G52" i="3"/>
  <c r="E52" i="3"/>
  <c r="G51" i="3"/>
  <c r="J51" i="3" s="1"/>
  <c r="E51" i="3"/>
  <c r="G50" i="3"/>
  <c r="E50" i="3"/>
  <c r="J50" i="3" s="1"/>
  <c r="G49" i="3"/>
  <c r="E49" i="3"/>
  <c r="J49" i="3" s="1"/>
  <c r="J48" i="3"/>
  <c r="G48" i="3"/>
  <c r="E48" i="3"/>
  <c r="G47" i="3"/>
  <c r="J47" i="3" s="1"/>
  <c r="E47" i="3"/>
  <c r="J46" i="3"/>
  <c r="G46" i="3"/>
  <c r="E46" i="3"/>
  <c r="G45" i="3"/>
  <c r="E45" i="3"/>
  <c r="J45" i="3" s="1"/>
  <c r="J44" i="3"/>
  <c r="G44" i="3"/>
  <c r="E44" i="3"/>
  <c r="G43" i="3"/>
  <c r="J43" i="3" s="1"/>
  <c r="E43" i="3"/>
  <c r="G42" i="3"/>
  <c r="E42" i="3"/>
  <c r="J42" i="3" s="1"/>
  <c r="G41" i="3"/>
  <c r="E41" i="3"/>
  <c r="J41" i="3" s="1"/>
  <c r="J40" i="3"/>
  <c r="G40" i="3"/>
  <c r="E40" i="3"/>
  <c r="G39" i="3"/>
  <c r="J39" i="3" s="1"/>
  <c r="E39" i="3"/>
  <c r="J38" i="3"/>
  <c r="G38" i="3"/>
  <c r="E38" i="3"/>
  <c r="G37" i="3"/>
  <c r="E37" i="3"/>
  <c r="J37" i="3" s="1"/>
  <c r="J36" i="3"/>
  <c r="G36" i="3"/>
  <c r="E36" i="3"/>
  <c r="G35" i="3"/>
  <c r="J35" i="3" s="1"/>
  <c r="E35" i="3"/>
  <c r="G34" i="3"/>
  <c r="E34" i="3"/>
  <c r="J34" i="3" s="1"/>
  <c r="G33" i="3"/>
  <c r="E33" i="3"/>
  <c r="J33" i="3" s="1"/>
  <c r="J32" i="3"/>
  <c r="G32" i="3"/>
  <c r="E32" i="3"/>
  <c r="G31" i="3"/>
  <c r="J31" i="3" s="1"/>
  <c r="E31" i="3"/>
  <c r="J30" i="3"/>
  <c r="G30" i="3"/>
  <c r="E30" i="3"/>
  <c r="G29" i="3"/>
  <c r="E29" i="3"/>
  <c r="J29" i="3" s="1"/>
  <c r="J28" i="3"/>
  <c r="G28" i="3"/>
  <c r="E28" i="3"/>
  <c r="G27" i="3"/>
  <c r="J27" i="3" s="1"/>
  <c r="E27" i="3"/>
  <c r="G26" i="3"/>
  <c r="E26" i="3"/>
  <c r="J26" i="3" s="1"/>
  <c r="G25" i="3"/>
  <c r="E25" i="3"/>
  <c r="J25" i="3" s="1"/>
  <c r="J24" i="3"/>
  <c r="G24" i="3"/>
  <c r="E24" i="3"/>
  <c r="G23" i="3"/>
  <c r="J23" i="3" s="1"/>
  <c r="E23" i="3"/>
  <c r="J22" i="3"/>
  <c r="G22" i="3"/>
  <c r="E22" i="3"/>
  <c r="G21" i="3"/>
  <c r="E21" i="3"/>
  <c r="J21" i="3" s="1"/>
  <c r="J20" i="3"/>
  <c r="G20" i="3"/>
  <c r="E20" i="3"/>
  <c r="G19" i="3"/>
  <c r="J19" i="3" s="1"/>
  <c r="E19" i="3"/>
  <c r="G18" i="3"/>
  <c r="E18" i="3"/>
  <c r="J18" i="3" s="1"/>
  <c r="G17" i="3"/>
  <c r="E17" i="3"/>
  <c r="J17" i="3" s="1"/>
  <c r="J16" i="3"/>
  <c r="G16" i="3"/>
  <c r="E16" i="3"/>
  <c r="G15" i="3"/>
  <c r="J15" i="3" s="1"/>
  <c r="E15" i="3"/>
  <c r="J14" i="3"/>
  <c r="G14" i="3"/>
  <c r="E14" i="3"/>
  <c r="G13" i="3"/>
  <c r="E13" i="3"/>
  <c r="J13" i="3" s="1"/>
  <c r="J12" i="3"/>
  <c r="G12" i="3"/>
  <c r="E12" i="3"/>
  <c r="G11" i="3"/>
  <c r="J11" i="3" s="1"/>
  <c r="E11" i="3"/>
  <c r="G10" i="3"/>
  <c r="E10" i="3"/>
  <c r="J10" i="3" s="1"/>
  <c r="G9" i="3"/>
  <c r="E9" i="3"/>
  <c r="J9" i="3" s="1"/>
  <c r="J8" i="3"/>
  <c r="G8" i="3"/>
  <c r="E8" i="3"/>
  <c r="G7" i="3"/>
  <c r="J7" i="3" s="1"/>
  <c r="E7" i="3"/>
  <c r="J6" i="3"/>
  <c r="G6" i="3"/>
  <c r="E6" i="3"/>
  <c r="G5" i="3"/>
  <c r="E5" i="3"/>
  <c r="J5" i="3" s="1"/>
  <c r="J4" i="3"/>
  <c r="G4" i="3"/>
  <c r="E4" i="3"/>
  <c r="G3" i="3"/>
  <c r="J3" i="3" s="1"/>
  <c r="E3" i="3"/>
  <c r="G2" i="3"/>
  <c r="E2" i="3"/>
  <c r="J2" i="3" s="1"/>
</calcChain>
</file>

<file path=xl/sharedStrings.xml><?xml version="1.0" encoding="utf-8"?>
<sst xmlns="http://schemas.openxmlformats.org/spreadsheetml/2006/main" count="803" uniqueCount="124">
  <si>
    <t>Category</t>
  </si>
  <si>
    <t>APPROACH</t>
  </si>
  <si>
    <t>ATC</t>
  </si>
  <si>
    <t>COORDINATOR</t>
  </si>
  <si>
    <t>DEPARTURE</t>
  </si>
  <si>
    <t>DISPATCHER</t>
  </si>
  <si>
    <t>ENROUTE</t>
  </si>
  <si>
    <t>FLIGHT DATA / CLEARANCE DELIVERY</t>
  </si>
  <si>
    <t>HANDOFF / ASSIST</t>
  </si>
  <si>
    <t>SUPERVISOR / CIC</t>
  </si>
  <si>
    <t>TRAFFIC MANAGEMENT</t>
  </si>
  <si>
    <t>UNICOM OPERATIONS</t>
  </si>
  <si>
    <t>AIRPORT MANAGER</t>
  </si>
  <si>
    <t>GROUND</t>
  </si>
  <si>
    <t>AIRPORT PERSONNEL</t>
  </si>
  <si>
    <t>FBO MANAGER</t>
  </si>
  <si>
    <t>FBO PERSONNEL</t>
  </si>
  <si>
    <t>GATE AGENT / CSR</t>
  </si>
  <si>
    <t>JET BRIDGE OPERATOR</t>
  </si>
  <si>
    <t>LOAD CCONTROLLER</t>
  </si>
  <si>
    <t>LOAD PLANNER</t>
  </si>
  <si>
    <t>RAMP</t>
  </si>
  <si>
    <t>VEHICLE DRIVER</t>
  </si>
  <si>
    <t>CFI</t>
  </si>
  <si>
    <t>INSTRUCTION / EXAM</t>
  </si>
  <si>
    <t>CFI-GFRONT;COMM-GREAR</t>
  </si>
  <si>
    <t>CFII WAS PRESENT</t>
  </si>
  <si>
    <t>DESIGNATED PILOT EXAMINER</t>
  </si>
  <si>
    <t>DPE</t>
  </si>
  <si>
    <t>DUAL FLIGHT</t>
  </si>
  <si>
    <t>DUAL FLIGHT INSTRUCTION</t>
  </si>
  <si>
    <t>DUAL INSTRUCTION FLIGHT</t>
  </si>
  <si>
    <t>FLYING WITH INSTRUCTOR</t>
  </si>
  <si>
    <t>INSTRUMENT STUDENT</t>
  </si>
  <si>
    <t>LINE CHECK AIRMAN</t>
  </si>
  <si>
    <t>LINE CHECK AIRMAN/CAPTAIN</t>
  </si>
  <si>
    <t>LINEMAN</t>
  </si>
  <si>
    <t>SAFETY PILOT</t>
  </si>
  <si>
    <t>STUDENTS INSTRUCTOR</t>
  </si>
  <si>
    <t>SUPERVISOR OF FLYING</t>
  </si>
  <si>
    <t>WITH DPE</t>
  </si>
  <si>
    <t>AVIATION SAFETY OFFICER</t>
  </si>
  <si>
    <t>MAINTENANCE / SAFETY</t>
  </si>
  <si>
    <t>FLIGHT ENGINEER / SECOND OFFICER</t>
  </si>
  <si>
    <t>FLIGHT SAFETY OFFICER</t>
  </si>
  <si>
    <t>FSDO POI</t>
  </si>
  <si>
    <t>INSPECTOR</t>
  </si>
  <si>
    <t>LEAD TECHNICIAN</t>
  </si>
  <si>
    <t>MAINTENANCE MANAGER</t>
  </si>
  <si>
    <t>MANAGER</t>
  </si>
  <si>
    <t>MANAGER - REGULATORY COMPLIANCE</t>
  </si>
  <si>
    <t>PARTS / STORES PERSONNEL</t>
  </si>
  <si>
    <t>QUALITY ASSURANCE / AUDIT</t>
  </si>
  <si>
    <t>SAFETY ANALYST</t>
  </si>
  <si>
    <t>SAFETY ANANLYST</t>
  </si>
  <si>
    <t>SAFETY INVESTIGATOR</t>
  </si>
  <si>
    <t>SAFETY MANAGER</t>
  </si>
  <si>
    <t>SAFETY OFFICE</t>
  </si>
  <si>
    <t>SAFETY OFFICER</t>
  </si>
  <si>
    <t>SMS ANALYST</t>
  </si>
  <si>
    <t>TECHNICIAN</t>
  </si>
  <si>
    <t>OCEANIC</t>
  </si>
  <si>
    <t>OTHER / UNKNOWN</t>
  </si>
  <si>
    <t>CITIZEN</t>
  </si>
  <si>
    <t>COMPANY CEO</t>
  </si>
  <si>
    <t>LEFT SEAT DURING SIM IFR</t>
  </si>
  <si>
    <t>LOCAL</t>
  </si>
  <si>
    <t>NO PASSENGERS</t>
  </si>
  <si>
    <t>OBSERVER</t>
  </si>
  <si>
    <t>OBSERVER/DEADHEADER</t>
  </si>
  <si>
    <t>OTHER</t>
  </si>
  <si>
    <t>PASSENGER</t>
  </si>
  <si>
    <t>SKYDIVER</t>
  </si>
  <si>
    <t>UNKNOWN</t>
  </si>
  <si>
    <t>FLIGHT SERVICE</t>
  </si>
  <si>
    <t>OTHER CREW</t>
  </si>
  <si>
    <t>ARMY H-60 CREW</t>
  </si>
  <si>
    <t>FLIGHT ATTENDANT (ON DUTY)</t>
  </si>
  <si>
    <t>FLIGHT ATTENDANT IN CHARGE</t>
  </si>
  <si>
    <t>MEDICAL CREW</t>
  </si>
  <si>
    <t>OFF DUTY</t>
  </si>
  <si>
    <t>CAPTAIN</t>
  </si>
  <si>
    <t>PILOT</t>
  </si>
  <si>
    <t>CHECK PILOT</t>
  </si>
  <si>
    <t>CIVL AIR PTRL CHECK PILOT</t>
  </si>
  <si>
    <t>COMMERCIAL STUDENT</t>
  </si>
  <si>
    <t>COMMERCIAL STUDENT PILOT</t>
  </si>
  <si>
    <t>CPL STUDENT</t>
  </si>
  <si>
    <t>DEADHEADING PILOT</t>
  </si>
  <si>
    <t>DRONE OPERATOR</t>
  </si>
  <si>
    <t>FIRST OFFICER</t>
  </si>
  <si>
    <t>HELIPORT MANAGER &amp; PILOT</t>
  </si>
  <si>
    <t>INSTRUCTOR</t>
  </si>
  <si>
    <t>MULTI-ENGINE STUDENT</t>
  </si>
  <si>
    <t>PARAMOTOR PILOT</t>
  </si>
  <si>
    <t>PERSON MANIPULATING CONTROLS (UAS)</t>
  </si>
  <si>
    <t>PIC</t>
  </si>
  <si>
    <t>PIC DURING TIME BUILD</t>
  </si>
  <si>
    <t>PIC NOT FLYING</t>
  </si>
  <si>
    <t>PIC ON A CHECKRIDE</t>
  </si>
  <si>
    <t>PILOT FLYING</t>
  </si>
  <si>
    <t>PILOT IN FOGGLES</t>
  </si>
  <si>
    <t>PILOT NOT FLYING</t>
  </si>
  <si>
    <t>PILOT RECIVING TYPE TRN</t>
  </si>
  <si>
    <t>PRIV. PILOT W/ INSTRUCTOR</t>
  </si>
  <si>
    <t>PRIVATE PILOT</t>
  </si>
  <si>
    <t>RELIEF PILOT</t>
  </si>
  <si>
    <t>REMOTE PIC (UAS)</t>
  </si>
  <si>
    <t>REMOTE PILOT</t>
  </si>
  <si>
    <t>SINGLE PILOT</t>
  </si>
  <si>
    <t>SOLO STUDENT</t>
  </si>
  <si>
    <t>STUDENT</t>
  </si>
  <si>
    <t>STUDENT PILOT</t>
  </si>
  <si>
    <t>STUDENT PILOT &amp; INSTR</t>
  </si>
  <si>
    <t>STUDENT PILOT W/ CFI</t>
  </si>
  <si>
    <t>STUDENT SOLO PILOT</t>
  </si>
  <si>
    <t>TRAINEE</t>
  </si>
  <si>
    <t>UAS SUPERVISOR</t>
  </si>
  <si>
    <t>VISUAL OBSERVER (UAS)</t>
  </si>
  <si>
    <t>Raw</t>
  </si>
  <si>
    <t>'</t>
  </si>
  <si>
    <t>': '</t>
  </si>
  <si>
    <t>',</t>
  </si>
  <si>
    <t>Concatenated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</si>
</sst>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1BD5-B93F-402F-B88B-545EDF93F80C}">
  <dimension ref="A1:B115"/>
  <sheetViews>
    <sheetView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41.375" bestFit="1" customWidth="1"/>
    <col min="2" max="2" width="24.375" bestFit="1" customWidth="1"/>
  </cols>
  <sheetData>
    <row r="1" spans="1:2" x14ac:dyDescent="0.25">
      <c r="A1" t="s">
        <v>119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2</v>
      </c>
      <c r="B3" t="s">
        <v>2</v>
      </c>
    </row>
    <row r="4" spans="1:2" x14ac:dyDescent="0.25">
      <c r="A4" t="s">
        <v>3</v>
      </c>
      <c r="B4" t="s">
        <v>2</v>
      </c>
    </row>
    <row r="5" spans="1:2" x14ac:dyDescent="0.25">
      <c r="A5" t="s">
        <v>4</v>
      </c>
      <c r="B5" t="s">
        <v>2</v>
      </c>
    </row>
    <row r="6" spans="1:2" x14ac:dyDescent="0.25">
      <c r="A6" t="s">
        <v>5</v>
      </c>
      <c r="B6" t="s">
        <v>2</v>
      </c>
    </row>
    <row r="7" spans="1:2" x14ac:dyDescent="0.25">
      <c r="A7" t="s">
        <v>6</v>
      </c>
      <c r="B7" t="s">
        <v>2</v>
      </c>
    </row>
    <row r="8" spans="1:2" x14ac:dyDescent="0.25">
      <c r="A8" t="s">
        <v>7</v>
      </c>
      <c r="B8" t="s">
        <v>2</v>
      </c>
    </row>
    <row r="9" spans="1:2" x14ac:dyDescent="0.25">
      <c r="A9" t="s">
        <v>8</v>
      </c>
      <c r="B9" t="s">
        <v>2</v>
      </c>
    </row>
    <row r="10" spans="1:2" x14ac:dyDescent="0.25">
      <c r="A10" t="s">
        <v>9</v>
      </c>
      <c r="B10" t="s">
        <v>2</v>
      </c>
    </row>
    <row r="11" spans="1:2" x14ac:dyDescent="0.25">
      <c r="A11" t="s">
        <v>10</v>
      </c>
      <c r="B11" t="s">
        <v>2</v>
      </c>
    </row>
    <row r="12" spans="1:2" x14ac:dyDescent="0.25">
      <c r="A12" t="s">
        <v>11</v>
      </c>
      <c r="B12" t="s">
        <v>2</v>
      </c>
    </row>
    <row r="13" spans="1:2" x14ac:dyDescent="0.25">
      <c r="A13" t="s">
        <v>12</v>
      </c>
      <c r="B13" t="s">
        <v>13</v>
      </c>
    </row>
    <row r="14" spans="1:2" x14ac:dyDescent="0.25">
      <c r="A14" t="s">
        <v>14</v>
      </c>
      <c r="B14" t="s">
        <v>13</v>
      </c>
    </row>
    <row r="15" spans="1:2" x14ac:dyDescent="0.25">
      <c r="A15" t="s">
        <v>15</v>
      </c>
      <c r="B15" t="s">
        <v>13</v>
      </c>
    </row>
    <row r="16" spans="1:2" x14ac:dyDescent="0.25">
      <c r="A16" t="s">
        <v>16</v>
      </c>
      <c r="B16" t="s">
        <v>13</v>
      </c>
    </row>
    <row r="17" spans="1:2" x14ac:dyDescent="0.25">
      <c r="A17" t="s">
        <v>17</v>
      </c>
      <c r="B17" t="s">
        <v>13</v>
      </c>
    </row>
    <row r="18" spans="1:2" x14ac:dyDescent="0.25">
      <c r="A18" t="s">
        <v>13</v>
      </c>
      <c r="B18" t="s">
        <v>13</v>
      </c>
    </row>
    <row r="19" spans="1:2" x14ac:dyDescent="0.25">
      <c r="A19" t="s">
        <v>18</v>
      </c>
      <c r="B19" t="s">
        <v>13</v>
      </c>
    </row>
    <row r="20" spans="1:2" x14ac:dyDescent="0.25">
      <c r="A20" t="s">
        <v>19</v>
      </c>
      <c r="B20" t="s">
        <v>13</v>
      </c>
    </row>
    <row r="21" spans="1:2" x14ac:dyDescent="0.25">
      <c r="A21" t="s">
        <v>20</v>
      </c>
      <c r="B21" t="s">
        <v>13</v>
      </c>
    </row>
    <row r="22" spans="1:2" x14ac:dyDescent="0.25">
      <c r="A22" t="s">
        <v>21</v>
      </c>
      <c r="B22" t="s">
        <v>13</v>
      </c>
    </row>
    <row r="23" spans="1:2" x14ac:dyDescent="0.25">
      <c r="A23" t="s">
        <v>22</v>
      </c>
      <c r="B23" t="s">
        <v>13</v>
      </c>
    </row>
    <row r="24" spans="1:2" x14ac:dyDescent="0.25">
      <c r="A24" t="s">
        <v>23</v>
      </c>
      <c r="B24" t="s">
        <v>24</v>
      </c>
    </row>
    <row r="25" spans="1:2" x14ac:dyDescent="0.25">
      <c r="A25" t="s">
        <v>25</v>
      </c>
      <c r="B25" t="s">
        <v>24</v>
      </c>
    </row>
    <row r="26" spans="1:2" x14ac:dyDescent="0.25">
      <c r="A26" t="s">
        <v>26</v>
      </c>
      <c r="B26" t="s">
        <v>24</v>
      </c>
    </row>
    <row r="27" spans="1:2" x14ac:dyDescent="0.25">
      <c r="A27" t="s">
        <v>27</v>
      </c>
      <c r="B27" t="s">
        <v>24</v>
      </c>
    </row>
    <row r="28" spans="1:2" x14ac:dyDescent="0.25">
      <c r="A28" t="s">
        <v>28</v>
      </c>
      <c r="B28" t="s">
        <v>24</v>
      </c>
    </row>
    <row r="29" spans="1:2" x14ac:dyDescent="0.25">
      <c r="A29" t="s">
        <v>29</v>
      </c>
      <c r="B29" t="s">
        <v>24</v>
      </c>
    </row>
    <row r="30" spans="1:2" x14ac:dyDescent="0.25">
      <c r="A30" t="s">
        <v>30</v>
      </c>
      <c r="B30" t="s">
        <v>24</v>
      </c>
    </row>
    <row r="31" spans="1:2" x14ac:dyDescent="0.25">
      <c r="A31" t="s">
        <v>31</v>
      </c>
      <c r="B31" t="s">
        <v>24</v>
      </c>
    </row>
    <row r="32" spans="1:2" x14ac:dyDescent="0.25">
      <c r="A32" t="s">
        <v>32</v>
      </c>
      <c r="B32" t="s">
        <v>24</v>
      </c>
    </row>
    <row r="33" spans="1:2" x14ac:dyDescent="0.25">
      <c r="A33" t="s">
        <v>33</v>
      </c>
      <c r="B33" t="s">
        <v>24</v>
      </c>
    </row>
    <row r="34" spans="1:2" x14ac:dyDescent="0.25">
      <c r="A34" t="s">
        <v>34</v>
      </c>
      <c r="B34" t="s">
        <v>24</v>
      </c>
    </row>
    <row r="35" spans="1:2" x14ac:dyDescent="0.25">
      <c r="A35" t="s">
        <v>35</v>
      </c>
      <c r="B35" t="s">
        <v>24</v>
      </c>
    </row>
    <row r="36" spans="1:2" x14ac:dyDescent="0.25">
      <c r="A36" t="s">
        <v>36</v>
      </c>
      <c r="B36" t="s">
        <v>24</v>
      </c>
    </row>
    <row r="37" spans="1:2" x14ac:dyDescent="0.25">
      <c r="A37" t="s">
        <v>37</v>
      </c>
      <c r="B37" t="s">
        <v>24</v>
      </c>
    </row>
    <row r="38" spans="1:2" x14ac:dyDescent="0.25">
      <c r="A38" t="s">
        <v>38</v>
      </c>
      <c r="B38" t="s">
        <v>24</v>
      </c>
    </row>
    <row r="39" spans="1:2" x14ac:dyDescent="0.25">
      <c r="A39" t="s">
        <v>39</v>
      </c>
      <c r="B39" t="s">
        <v>24</v>
      </c>
    </row>
    <row r="40" spans="1:2" x14ac:dyDescent="0.25">
      <c r="A40" t="s">
        <v>40</v>
      </c>
      <c r="B40" t="s">
        <v>24</v>
      </c>
    </row>
    <row r="41" spans="1:2" x14ac:dyDescent="0.25">
      <c r="A41" t="s">
        <v>41</v>
      </c>
      <c r="B41" t="s">
        <v>42</v>
      </c>
    </row>
    <row r="42" spans="1:2" x14ac:dyDescent="0.25">
      <c r="A42" t="s">
        <v>43</v>
      </c>
      <c r="B42" t="s">
        <v>42</v>
      </c>
    </row>
    <row r="43" spans="1:2" x14ac:dyDescent="0.25">
      <c r="A43" t="s">
        <v>44</v>
      </c>
      <c r="B43" t="s">
        <v>42</v>
      </c>
    </row>
    <row r="44" spans="1:2" x14ac:dyDescent="0.25">
      <c r="A44" t="s">
        <v>45</v>
      </c>
      <c r="B44" t="s">
        <v>42</v>
      </c>
    </row>
    <row r="45" spans="1:2" x14ac:dyDescent="0.25">
      <c r="A45" t="s">
        <v>46</v>
      </c>
      <c r="B45" t="s">
        <v>42</v>
      </c>
    </row>
    <row r="46" spans="1:2" x14ac:dyDescent="0.25">
      <c r="A46" t="s">
        <v>47</v>
      </c>
      <c r="B46" t="s">
        <v>42</v>
      </c>
    </row>
    <row r="47" spans="1:2" x14ac:dyDescent="0.25">
      <c r="A47" t="s">
        <v>48</v>
      </c>
      <c r="B47" t="s">
        <v>42</v>
      </c>
    </row>
    <row r="48" spans="1:2" x14ac:dyDescent="0.25">
      <c r="A48" t="s">
        <v>49</v>
      </c>
      <c r="B48" t="s">
        <v>42</v>
      </c>
    </row>
    <row r="49" spans="1:2" x14ac:dyDescent="0.25">
      <c r="A49" t="s">
        <v>50</v>
      </c>
      <c r="B49" t="s">
        <v>42</v>
      </c>
    </row>
    <row r="50" spans="1:2" x14ac:dyDescent="0.25">
      <c r="A50" t="s">
        <v>51</v>
      </c>
      <c r="B50" t="s">
        <v>42</v>
      </c>
    </row>
    <row r="51" spans="1:2" x14ac:dyDescent="0.25">
      <c r="A51" t="s">
        <v>52</v>
      </c>
      <c r="B51" t="s">
        <v>42</v>
      </c>
    </row>
    <row r="52" spans="1:2" x14ac:dyDescent="0.25">
      <c r="A52" t="s">
        <v>53</v>
      </c>
      <c r="B52" t="s">
        <v>42</v>
      </c>
    </row>
    <row r="53" spans="1:2" x14ac:dyDescent="0.25">
      <c r="A53" t="s">
        <v>54</v>
      </c>
      <c r="B53" t="s">
        <v>42</v>
      </c>
    </row>
    <row r="54" spans="1:2" x14ac:dyDescent="0.25">
      <c r="A54" t="s">
        <v>55</v>
      </c>
      <c r="B54" t="s">
        <v>42</v>
      </c>
    </row>
    <row r="55" spans="1:2" x14ac:dyDescent="0.25">
      <c r="A55" t="s">
        <v>56</v>
      </c>
      <c r="B55" t="s">
        <v>42</v>
      </c>
    </row>
    <row r="56" spans="1:2" x14ac:dyDescent="0.25">
      <c r="A56" t="s">
        <v>57</v>
      </c>
      <c r="B56" t="s">
        <v>42</v>
      </c>
    </row>
    <row r="57" spans="1:2" x14ac:dyDescent="0.25">
      <c r="A57" t="s">
        <v>58</v>
      </c>
      <c r="B57" t="s">
        <v>42</v>
      </c>
    </row>
    <row r="58" spans="1:2" x14ac:dyDescent="0.25">
      <c r="A58" t="s">
        <v>59</v>
      </c>
      <c r="B58" t="s">
        <v>42</v>
      </c>
    </row>
    <row r="59" spans="1:2" x14ac:dyDescent="0.25">
      <c r="A59" t="s">
        <v>60</v>
      </c>
      <c r="B59" t="s">
        <v>42</v>
      </c>
    </row>
    <row r="60" spans="1:2" x14ac:dyDescent="0.25">
      <c r="A60" t="s">
        <v>61</v>
      </c>
      <c r="B60" t="s">
        <v>62</v>
      </c>
    </row>
    <row r="61" spans="1:2" x14ac:dyDescent="0.25">
      <c r="A61" t="s">
        <v>63</v>
      </c>
      <c r="B61" t="s">
        <v>62</v>
      </c>
    </row>
    <row r="62" spans="1:2" x14ac:dyDescent="0.25">
      <c r="A62" t="s">
        <v>64</v>
      </c>
      <c r="B62" t="s">
        <v>62</v>
      </c>
    </row>
    <row r="63" spans="1:2" x14ac:dyDescent="0.25">
      <c r="A63" t="s">
        <v>65</v>
      </c>
      <c r="B63" t="s">
        <v>62</v>
      </c>
    </row>
    <row r="64" spans="1:2" x14ac:dyDescent="0.25">
      <c r="A64" t="s">
        <v>66</v>
      </c>
      <c r="B64" t="s">
        <v>62</v>
      </c>
    </row>
    <row r="65" spans="1:2" x14ac:dyDescent="0.25">
      <c r="A65" t="s">
        <v>67</v>
      </c>
      <c r="B65" t="s">
        <v>62</v>
      </c>
    </row>
    <row r="66" spans="1:2" x14ac:dyDescent="0.25">
      <c r="A66" t="s">
        <v>68</v>
      </c>
      <c r="B66" t="s">
        <v>62</v>
      </c>
    </row>
    <row r="67" spans="1:2" x14ac:dyDescent="0.25">
      <c r="A67" t="s">
        <v>69</v>
      </c>
      <c r="B67" t="s">
        <v>62</v>
      </c>
    </row>
    <row r="68" spans="1:2" x14ac:dyDescent="0.25">
      <c r="A68" t="s">
        <v>70</v>
      </c>
      <c r="B68" t="s">
        <v>62</v>
      </c>
    </row>
    <row r="69" spans="1:2" x14ac:dyDescent="0.25">
      <c r="A69" t="s">
        <v>62</v>
      </c>
      <c r="B69" t="s">
        <v>62</v>
      </c>
    </row>
    <row r="70" spans="1:2" x14ac:dyDescent="0.25">
      <c r="A70" t="s">
        <v>71</v>
      </c>
      <c r="B70" t="s">
        <v>62</v>
      </c>
    </row>
    <row r="71" spans="1:2" x14ac:dyDescent="0.25">
      <c r="A71" t="s">
        <v>72</v>
      </c>
      <c r="B71" t="s">
        <v>62</v>
      </c>
    </row>
    <row r="72" spans="1:2" x14ac:dyDescent="0.25">
      <c r="A72" t="s">
        <v>73</v>
      </c>
      <c r="B72" t="s">
        <v>62</v>
      </c>
    </row>
    <row r="73" spans="1:2" x14ac:dyDescent="0.25">
      <c r="A73" t="s">
        <v>74</v>
      </c>
      <c r="B73" t="s">
        <v>75</v>
      </c>
    </row>
    <row r="74" spans="1:2" x14ac:dyDescent="0.25">
      <c r="A74" t="s">
        <v>76</v>
      </c>
      <c r="B74" t="s">
        <v>75</v>
      </c>
    </row>
    <row r="75" spans="1:2" x14ac:dyDescent="0.25">
      <c r="A75" t="s">
        <v>77</v>
      </c>
      <c r="B75" t="s">
        <v>75</v>
      </c>
    </row>
    <row r="76" spans="1:2" x14ac:dyDescent="0.25">
      <c r="A76" t="s">
        <v>78</v>
      </c>
      <c r="B76" t="s">
        <v>75</v>
      </c>
    </row>
    <row r="77" spans="1:2" x14ac:dyDescent="0.25">
      <c r="A77" t="s">
        <v>79</v>
      </c>
      <c r="B77" t="s">
        <v>75</v>
      </c>
    </row>
    <row r="78" spans="1:2" x14ac:dyDescent="0.25">
      <c r="A78" t="s">
        <v>80</v>
      </c>
      <c r="B78" t="s">
        <v>75</v>
      </c>
    </row>
    <row r="79" spans="1:2" x14ac:dyDescent="0.25">
      <c r="A79" t="s">
        <v>81</v>
      </c>
      <c r="B79" t="s">
        <v>82</v>
      </c>
    </row>
    <row r="80" spans="1:2" x14ac:dyDescent="0.25">
      <c r="A80" t="s">
        <v>83</v>
      </c>
      <c r="B80" t="s">
        <v>82</v>
      </c>
    </row>
    <row r="81" spans="1:2" x14ac:dyDescent="0.25">
      <c r="A81" t="s">
        <v>84</v>
      </c>
      <c r="B81" t="s">
        <v>82</v>
      </c>
    </row>
    <row r="82" spans="1:2" x14ac:dyDescent="0.25">
      <c r="A82" t="s">
        <v>85</v>
      </c>
      <c r="B82" t="s">
        <v>82</v>
      </c>
    </row>
    <row r="83" spans="1:2" x14ac:dyDescent="0.25">
      <c r="A83" t="s">
        <v>86</v>
      </c>
      <c r="B83" t="s">
        <v>82</v>
      </c>
    </row>
    <row r="84" spans="1:2" x14ac:dyDescent="0.25">
      <c r="A84" t="s">
        <v>87</v>
      </c>
      <c r="B84" t="s">
        <v>82</v>
      </c>
    </row>
    <row r="85" spans="1:2" x14ac:dyDescent="0.25">
      <c r="A85" t="s">
        <v>88</v>
      </c>
      <c r="B85" t="s">
        <v>82</v>
      </c>
    </row>
    <row r="86" spans="1:2" x14ac:dyDescent="0.25">
      <c r="A86" t="s">
        <v>89</v>
      </c>
      <c r="B86" t="s">
        <v>82</v>
      </c>
    </row>
    <row r="87" spans="1:2" x14ac:dyDescent="0.25">
      <c r="A87" t="s">
        <v>90</v>
      </c>
      <c r="B87" t="s">
        <v>82</v>
      </c>
    </row>
    <row r="88" spans="1:2" x14ac:dyDescent="0.25">
      <c r="A88" t="s">
        <v>91</v>
      </c>
      <c r="B88" t="s">
        <v>82</v>
      </c>
    </row>
    <row r="89" spans="1:2" x14ac:dyDescent="0.25">
      <c r="A89" t="s">
        <v>92</v>
      </c>
      <c r="B89" t="s">
        <v>82</v>
      </c>
    </row>
    <row r="90" spans="1:2" x14ac:dyDescent="0.25">
      <c r="A90" t="s">
        <v>93</v>
      </c>
      <c r="B90" t="s">
        <v>82</v>
      </c>
    </row>
    <row r="91" spans="1:2" x14ac:dyDescent="0.25">
      <c r="A91" t="s">
        <v>94</v>
      </c>
      <c r="B91" t="s">
        <v>82</v>
      </c>
    </row>
    <row r="92" spans="1:2" x14ac:dyDescent="0.25">
      <c r="A92" t="s">
        <v>95</v>
      </c>
      <c r="B92" t="s">
        <v>82</v>
      </c>
    </row>
    <row r="93" spans="1:2" x14ac:dyDescent="0.25">
      <c r="A93" t="s">
        <v>96</v>
      </c>
      <c r="B93" t="s">
        <v>82</v>
      </c>
    </row>
    <row r="94" spans="1:2" x14ac:dyDescent="0.25">
      <c r="A94" t="s">
        <v>97</v>
      </c>
      <c r="B94" t="s">
        <v>82</v>
      </c>
    </row>
    <row r="95" spans="1:2" x14ac:dyDescent="0.25">
      <c r="A95" t="s">
        <v>98</v>
      </c>
      <c r="B95" t="s">
        <v>82</v>
      </c>
    </row>
    <row r="96" spans="1:2" x14ac:dyDescent="0.25">
      <c r="A96" t="s">
        <v>99</v>
      </c>
      <c r="B96" t="s">
        <v>82</v>
      </c>
    </row>
    <row r="97" spans="1:2" x14ac:dyDescent="0.25">
      <c r="A97" t="s">
        <v>100</v>
      </c>
      <c r="B97" t="s">
        <v>82</v>
      </c>
    </row>
    <row r="98" spans="1:2" x14ac:dyDescent="0.25">
      <c r="A98" t="s">
        <v>101</v>
      </c>
      <c r="B98" t="s">
        <v>82</v>
      </c>
    </row>
    <row r="99" spans="1:2" x14ac:dyDescent="0.25">
      <c r="A99" t="s">
        <v>102</v>
      </c>
      <c r="B99" t="s">
        <v>82</v>
      </c>
    </row>
    <row r="100" spans="1:2" x14ac:dyDescent="0.25">
      <c r="A100" t="s">
        <v>103</v>
      </c>
      <c r="B100" t="s">
        <v>82</v>
      </c>
    </row>
    <row r="101" spans="1:2" x14ac:dyDescent="0.25">
      <c r="A101" t="s">
        <v>104</v>
      </c>
      <c r="B101" t="s">
        <v>82</v>
      </c>
    </row>
    <row r="102" spans="1:2" x14ac:dyDescent="0.25">
      <c r="A102" t="s">
        <v>105</v>
      </c>
      <c r="B102" t="s">
        <v>82</v>
      </c>
    </row>
    <row r="103" spans="1:2" x14ac:dyDescent="0.25">
      <c r="A103" t="s">
        <v>106</v>
      </c>
      <c r="B103" t="s">
        <v>82</v>
      </c>
    </row>
    <row r="104" spans="1:2" x14ac:dyDescent="0.25">
      <c r="A104" t="s">
        <v>107</v>
      </c>
      <c r="B104" t="s">
        <v>82</v>
      </c>
    </row>
    <row r="105" spans="1:2" x14ac:dyDescent="0.25">
      <c r="A105" t="s">
        <v>108</v>
      </c>
      <c r="B105" t="s">
        <v>82</v>
      </c>
    </row>
    <row r="106" spans="1:2" x14ac:dyDescent="0.25">
      <c r="A106" t="s">
        <v>109</v>
      </c>
      <c r="B106" t="s">
        <v>82</v>
      </c>
    </row>
    <row r="107" spans="1:2" x14ac:dyDescent="0.25">
      <c r="A107" t="s">
        <v>110</v>
      </c>
      <c r="B107" t="s">
        <v>82</v>
      </c>
    </row>
    <row r="108" spans="1:2" x14ac:dyDescent="0.25">
      <c r="A108" t="s">
        <v>111</v>
      </c>
      <c r="B108" t="s">
        <v>82</v>
      </c>
    </row>
    <row r="109" spans="1:2" x14ac:dyDescent="0.25">
      <c r="A109" t="s">
        <v>112</v>
      </c>
      <c r="B109" t="s">
        <v>82</v>
      </c>
    </row>
    <row r="110" spans="1:2" x14ac:dyDescent="0.25">
      <c r="A110" t="s">
        <v>113</v>
      </c>
      <c r="B110" t="s">
        <v>82</v>
      </c>
    </row>
    <row r="111" spans="1:2" x14ac:dyDescent="0.25">
      <c r="A111" t="s">
        <v>114</v>
      </c>
      <c r="B111" t="s">
        <v>82</v>
      </c>
    </row>
    <row r="112" spans="1:2" x14ac:dyDescent="0.25">
      <c r="A112" t="s">
        <v>115</v>
      </c>
      <c r="B112" t="s">
        <v>82</v>
      </c>
    </row>
    <row r="113" spans="1:2" x14ac:dyDescent="0.25">
      <c r="A113" t="s">
        <v>116</v>
      </c>
      <c r="B113" t="s">
        <v>82</v>
      </c>
    </row>
    <row r="114" spans="1:2" x14ac:dyDescent="0.25">
      <c r="A114" t="s">
        <v>117</v>
      </c>
      <c r="B114" t="s">
        <v>82</v>
      </c>
    </row>
    <row r="115" spans="1:2" x14ac:dyDescent="0.25">
      <c r="A115" t="s">
        <v>118</v>
      </c>
      <c r="B11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4A1B-45DC-4E44-9298-BF19EB755F53}">
  <dimension ref="A1:J11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41.375" bestFit="1" customWidth="1"/>
    <col min="2" max="2" width="24.375" bestFit="1" customWidth="1"/>
    <col min="4" max="4" width="1.375" bestFit="1" customWidth="1"/>
    <col min="5" max="5" width="11.375" bestFit="1" customWidth="1"/>
    <col min="6" max="6" width="2.875" bestFit="1" customWidth="1"/>
    <col min="8" max="8" width="1.875" bestFit="1" customWidth="1"/>
  </cols>
  <sheetData>
    <row r="1" spans="1:10" x14ac:dyDescent="0.25">
      <c r="A1" t="s">
        <v>119</v>
      </c>
      <c r="B1" t="s">
        <v>0</v>
      </c>
      <c r="J1" t="s">
        <v>123</v>
      </c>
    </row>
    <row r="2" spans="1:10" x14ac:dyDescent="0.25">
      <c r="A2" t="s">
        <v>1</v>
      </c>
      <c r="B2" t="s">
        <v>2</v>
      </c>
      <c r="D2" s="1" t="s">
        <v>120</v>
      </c>
      <c r="E2" t="str">
        <f>A2</f>
        <v>APPROACH</v>
      </c>
      <c r="F2" s="1" t="s">
        <v>121</v>
      </c>
      <c r="G2" t="str">
        <f>B2</f>
        <v>ATC</v>
      </c>
      <c r="H2" s="1" t="s">
        <v>122</v>
      </c>
      <c r="J2" t="str">
        <f>_xlfn.CONCAT(D2:H2)</f>
        <v>'APPROACH': 'ATC',</v>
      </c>
    </row>
    <row r="3" spans="1:10" x14ac:dyDescent="0.25">
      <c r="A3" t="s">
        <v>2</v>
      </c>
      <c r="B3" t="s">
        <v>2</v>
      </c>
      <c r="D3" s="1" t="s">
        <v>120</v>
      </c>
      <c r="E3" t="str">
        <f t="shared" ref="E3:E66" si="0">A3</f>
        <v>ATC</v>
      </c>
      <c r="F3" s="1" t="s">
        <v>121</v>
      </c>
      <c r="G3" t="str">
        <f t="shared" ref="G3:G66" si="1">B3</f>
        <v>ATC</v>
      </c>
      <c r="H3" s="1" t="s">
        <v>122</v>
      </c>
      <c r="J3" t="str">
        <f t="shared" ref="J3:J66" si="2">_xlfn.CONCAT(D3:H3)</f>
        <v>'ATC': 'ATC',</v>
      </c>
    </row>
    <row r="4" spans="1:10" x14ac:dyDescent="0.25">
      <c r="A4" t="s">
        <v>3</v>
      </c>
      <c r="B4" t="s">
        <v>2</v>
      </c>
      <c r="D4" s="1" t="s">
        <v>120</v>
      </c>
      <c r="E4" t="str">
        <f t="shared" si="0"/>
        <v>COORDINATOR</v>
      </c>
      <c r="F4" s="1" t="s">
        <v>121</v>
      </c>
      <c r="G4" t="str">
        <f t="shared" si="1"/>
        <v>ATC</v>
      </c>
      <c r="H4" s="1" t="s">
        <v>122</v>
      </c>
      <c r="J4" t="str">
        <f t="shared" si="2"/>
        <v>'COORDINATOR': 'ATC',</v>
      </c>
    </row>
    <row r="5" spans="1:10" x14ac:dyDescent="0.25">
      <c r="A5" t="s">
        <v>4</v>
      </c>
      <c r="B5" t="s">
        <v>2</v>
      </c>
      <c r="D5" s="1" t="s">
        <v>120</v>
      </c>
      <c r="E5" t="str">
        <f t="shared" si="0"/>
        <v>DEPARTURE</v>
      </c>
      <c r="F5" s="1" t="s">
        <v>121</v>
      </c>
      <c r="G5" t="str">
        <f t="shared" si="1"/>
        <v>ATC</v>
      </c>
      <c r="H5" s="1" t="s">
        <v>122</v>
      </c>
      <c r="J5" t="str">
        <f t="shared" si="2"/>
        <v>'DEPARTURE': 'ATC',</v>
      </c>
    </row>
    <row r="6" spans="1:10" x14ac:dyDescent="0.25">
      <c r="A6" t="s">
        <v>5</v>
      </c>
      <c r="B6" t="s">
        <v>2</v>
      </c>
      <c r="D6" s="1" t="s">
        <v>120</v>
      </c>
      <c r="E6" t="str">
        <f t="shared" si="0"/>
        <v>DISPATCHER</v>
      </c>
      <c r="F6" s="1" t="s">
        <v>121</v>
      </c>
      <c r="G6" t="str">
        <f t="shared" si="1"/>
        <v>ATC</v>
      </c>
      <c r="H6" s="1" t="s">
        <v>122</v>
      </c>
      <c r="J6" t="str">
        <f t="shared" si="2"/>
        <v>'DISPATCHER': 'ATC',</v>
      </c>
    </row>
    <row r="7" spans="1:10" x14ac:dyDescent="0.25">
      <c r="A7" t="s">
        <v>6</v>
      </c>
      <c r="B7" t="s">
        <v>2</v>
      </c>
      <c r="D7" s="1" t="s">
        <v>120</v>
      </c>
      <c r="E7" t="str">
        <f t="shared" si="0"/>
        <v>ENROUTE</v>
      </c>
      <c r="F7" s="1" t="s">
        <v>121</v>
      </c>
      <c r="G7" t="str">
        <f t="shared" si="1"/>
        <v>ATC</v>
      </c>
      <c r="H7" s="1" t="s">
        <v>122</v>
      </c>
      <c r="J7" t="str">
        <f t="shared" si="2"/>
        <v>'ENROUTE': 'ATC',</v>
      </c>
    </row>
    <row r="8" spans="1:10" x14ac:dyDescent="0.25">
      <c r="A8" t="s">
        <v>7</v>
      </c>
      <c r="B8" t="s">
        <v>2</v>
      </c>
      <c r="D8" s="1" t="s">
        <v>120</v>
      </c>
      <c r="E8" t="str">
        <f t="shared" si="0"/>
        <v>FLIGHT DATA / CLEARANCE DELIVERY</v>
      </c>
      <c r="F8" s="1" t="s">
        <v>121</v>
      </c>
      <c r="G8" t="str">
        <f t="shared" si="1"/>
        <v>ATC</v>
      </c>
      <c r="H8" s="1" t="s">
        <v>122</v>
      </c>
      <c r="J8" t="str">
        <f t="shared" si="2"/>
        <v>'FLIGHT DATA / CLEARANCE DELIVERY': 'ATC',</v>
      </c>
    </row>
    <row r="9" spans="1:10" x14ac:dyDescent="0.25">
      <c r="A9" t="s">
        <v>8</v>
      </c>
      <c r="B9" t="s">
        <v>2</v>
      </c>
      <c r="D9" s="1" t="s">
        <v>120</v>
      </c>
      <c r="E9" t="str">
        <f t="shared" si="0"/>
        <v>HANDOFF / ASSIST</v>
      </c>
      <c r="F9" s="1" t="s">
        <v>121</v>
      </c>
      <c r="G9" t="str">
        <f t="shared" si="1"/>
        <v>ATC</v>
      </c>
      <c r="H9" s="1" t="s">
        <v>122</v>
      </c>
      <c r="J9" t="str">
        <f t="shared" si="2"/>
        <v>'HANDOFF / ASSIST': 'ATC',</v>
      </c>
    </row>
    <row r="10" spans="1:10" x14ac:dyDescent="0.25">
      <c r="A10" t="s">
        <v>9</v>
      </c>
      <c r="B10" t="s">
        <v>2</v>
      </c>
      <c r="D10" s="1" t="s">
        <v>120</v>
      </c>
      <c r="E10" t="str">
        <f t="shared" si="0"/>
        <v>SUPERVISOR / CIC</v>
      </c>
      <c r="F10" s="1" t="s">
        <v>121</v>
      </c>
      <c r="G10" t="str">
        <f t="shared" si="1"/>
        <v>ATC</v>
      </c>
      <c r="H10" s="1" t="s">
        <v>122</v>
      </c>
      <c r="J10" t="str">
        <f t="shared" si="2"/>
        <v>'SUPERVISOR / CIC': 'ATC',</v>
      </c>
    </row>
    <row r="11" spans="1:10" x14ac:dyDescent="0.25">
      <c r="A11" t="s">
        <v>10</v>
      </c>
      <c r="B11" t="s">
        <v>2</v>
      </c>
      <c r="D11" s="1" t="s">
        <v>120</v>
      </c>
      <c r="E11" t="str">
        <f t="shared" si="0"/>
        <v>TRAFFIC MANAGEMENT</v>
      </c>
      <c r="F11" s="1" t="s">
        <v>121</v>
      </c>
      <c r="G11" t="str">
        <f t="shared" si="1"/>
        <v>ATC</v>
      </c>
      <c r="H11" s="1" t="s">
        <v>122</v>
      </c>
      <c r="J11" t="str">
        <f t="shared" si="2"/>
        <v>'TRAFFIC MANAGEMENT': 'ATC',</v>
      </c>
    </row>
    <row r="12" spans="1:10" x14ac:dyDescent="0.25">
      <c r="A12" t="s">
        <v>11</v>
      </c>
      <c r="B12" t="s">
        <v>2</v>
      </c>
      <c r="D12" s="1" t="s">
        <v>120</v>
      </c>
      <c r="E12" t="str">
        <f t="shared" si="0"/>
        <v>UNICOM OPERATIONS</v>
      </c>
      <c r="F12" s="1" t="s">
        <v>121</v>
      </c>
      <c r="G12" t="str">
        <f t="shared" si="1"/>
        <v>ATC</v>
      </c>
      <c r="H12" s="1" t="s">
        <v>122</v>
      </c>
      <c r="J12" t="str">
        <f t="shared" si="2"/>
        <v>'UNICOM OPERATIONS': 'ATC',</v>
      </c>
    </row>
    <row r="13" spans="1:10" x14ac:dyDescent="0.25">
      <c r="A13" t="s">
        <v>12</v>
      </c>
      <c r="B13" t="s">
        <v>13</v>
      </c>
      <c r="D13" s="1" t="s">
        <v>120</v>
      </c>
      <c r="E13" t="str">
        <f t="shared" si="0"/>
        <v>AIRPORT MANAGER</v>
      </c>
      <c r="F13" s="1" t="s">
        <v>121</v>
      </c>
      <c r="G13" t="str">
        <f t="shared" si="1"/>
        <v>GROUND</v>
      </c>
      <c r="H13" s="1" t="s">
        <v>122</v>
      </c>
      <c r="J13" t="str">
        <f t="shared" si="2"/>
        <v>'AIRPORT MANAGER': 'GROUND',</v>
      </c>
    </row>
    <row r="14" spans="1:10" x14ac:dyDescent="0.25">
      <c r="A14" t="s">
        <v>14</v>
      </c>
      <c r="B14" t="s">
        <v>13</v>
      </c>
      <c r="D14" s="1" t="s">
        <v>120</v>
      </c>
      <c r="E14" t="str">
        <f t="shared" si="0"/>
        <v>AIRPORT PERSONNEL</v>
      </c>
      <c r="F14" s="1" t="s">
        <v>121</v>
      </c>
      <c r="G14" t="str">
        <f t="shared" si="1"/>
        <v>GROUND</v>
      </c>
      <c r="H14" s="1" t="s">
        <v>122</v>
      </c>
      <c r="J14" t="str">
        <f t="shared" si="2"/>
        <v>'AIRPORT PERSONNEL': 'GROUND',</v>
      </c>
    </row>
    <row r="15" spans="1:10" x14ac:dyDescent="0.25">
      <c r="A15" t="s">
        <v>15</v>
      </c>
      <c r="B15" t="s">
        <v>13</v>
      </c>
      <c r="D15" s="1" t="s">
        <v>120</v>
      </c>
      <c r="E15" t="str">
        <f t="shared" si="0"/>
        <v>FBO MANAGER</v>
      </c>
      <c r="F15" s="1" t="s">
        <v>121</v>
      </c>
      <c r="G15" t="str">
        <f t="shared" si="1"/>
        <v>GROUND</v>
      </c>
      <c r="H15" s="1" t="s">
        <v>122</v>
      </c>
      <c r="J15" t="str">
        <f t="shared" si="2"/>
        <v>'FBO MANAGER': 'GROUND',</v>
      </c>
    </row>
    <row r="16" spans="1:10" x14ac:dyDescent="0.25">
      <c r="A16" t="s">
        <v>16</v>
      </c>
      <c r="B16" t="s">
        <v>13</v>
      </c>
      <c r="D16" s="1" t="s">
        <v>120</v>
      </c>
      <c r="E16" t="str">
        <f t="shared" si="0"/>
        <v>FBO PERSONNEL</v>
      </c>
      <c r="F16" s="1" t="s">
        <v>121</v>
      </c>
      <c r="G16" t="str">
        <f t="shared" si="1"/>
        <v>GROUND</v>
      </c>
      <c r="H16" s="1" t="s">
        <v>122</v>
      </c>
      <c r="J16" t="str">
        <f t="shared" si="2"/>
        <v>'FBO PERSONNEL': 'GROUND',</v>
      </c>
    </row>
    <row r="17" spans="1:10" x14ac:dyDescent="0.25">
      <c r="A17" t="s">
        <v>17</v>
      </c>
      <c r="B17" t="s">
        <v>13</v>
      </c>
      <c r="D17" s="1" t="s">
        <v>120</v>
      </c>
      <c r="E17" t="str">
        <f t="shared" si="0"/>
        <v>GATE AGENT / CSR</v>
      </c>
      <c r="F17" s="1" t="s">
        <v>121</v>
      </c>
      <c r="G17" t="str">
        <f t="shared" si="1"/>
        <v>GROUND</v>
      </c>
      <c r="H17" s="1" t="s">
        <v>122</v>
      </c>
      <c r="J17" t="str">
        <f t="shared" si="2"/>
        <v>'GATE AGENT / CSR': 'GROUND',</v>
      </c>
    </row>
    <row r="18" spans="1:10" x14ac:dyDescent="0.25">
      <c r="A18" t="s">
        <v>13</v>
      </c>
      <c r="B18" t="s">
        <v>13</v>
      </c>
      <c r="D18" s="1" t="s">
        <v>120</v>
      </c>
      <c r="E18" t="str">
        <f t="shared" si="0"/>
        <v>GROUND</v>
      </c>
      <c r="F18" s="1" t="s">
        <v>121</v>
      </c>
      <c r="G18" t="str">
        <f t="shared" si="1"/>
        <v>GROUND</v>
      </c>
      <c r="H18" s="1" t="s">
        <v>122</v>
      </c>
      <c r="J18" t="str">
        <f t="shared" si="2"/>
        <v>'GROUND': 'GROUND',</v>
      </c>
    </row>
    <row r="19" spans="1:10" x14ac:dyDescent="0.25">
      <c r="A19" t="s">
        <v>18</v>
      </c>
      <c r="B19" t="s">
        <v>13</v>
      </c>
      <c r="D19" s="1" t="s">
        <v>120</v>
      </c>
      <c r="E19" t="str">
        <f t="shared" si="0"/>
        <v>JET BRIDGE OPERATOR</v>
      </c>
      <c r="F19" s="1" t="s">
        <v>121</v>
      </c>
      <c r="G19" t="str">
        <f t="shared" si="1"/>
        <v>GROUND</v>
      </c>
      <c r="H19" s="1" t="s">
        <v>122</v>
      </c>
      <c r="J19" t="str">
        <f t="shared" si="2"/>
        <v>'JET BRIDGE OPERATOR': 'GROUND',</v>
      </c>
    </row>
    <row r="20" spans="1:10" x14ac:dyDescent="0.25">
      <c r="A20" t="s">
        <v>19</v>
      </c>
      <c r="B20" t="s">
        <v>13</v>
      </c>
      <c r="D20" s="1" t="s">
        <v>120</v>
      </c>
      <c r="E20" t="str">
        <f t="shared" si="0"/>
        <v>LOAD CCONTROLLER</v>
      </c>
      <c r="F20" s="1" t="s">
        <v>121</v>
      </c>
      <c r="G20" t="str">
        <f t="shared" si="1"/>
        <v>GROUND</v>
      </c>
      <c r="H20" s="1" t="s">
        <v>122</v>
      </c>
      <c r="J20" t="str">
        <f t="shared" si="2"/>
        <v>'LOAD CCONTROLLER': 'GROUND',</v>
      </c>
    </row>
    <row r="21" spans="1:10" x14ac:dyDescent="0.25">
      <c r="A21" t="s">
        <v>20</v>
      </c>
      <c r="B21" t="s">
        <v>13</v>
      </c>
      <c r="D21" s="1" t="s">
        <v>120</v>
      </c>
      <c r="E21" t="str">
        <f t="shared" si="0"/>
        <v>LOAD PLANNER</v>
      </c>
      <c r="F21" s="1" t="s">
        <v>121</v>
      </c>
      <c r="G21" t="str">
        <f t="shared" si="1"/>
        <v>GROUND</v>
      </c>
      <c r="H21" s="1" t="s">
        <v>122</v>
      </c>
      <c r="J21" t="str">
        <f t="shared" si="2"/>
        <v>'LOAD PLANNER': 'GROUND',</v>
      </c>
    </row>
    <row r="22" spans="1:10" x14ac:dyDescent="0.25">
      <c r="A22" t="s">
        <v>21</v>
      </c>
      <c r="B22" t="s">
        <v>13</v>
      </c>
      <c r="D22" s="1" t="s">
        <v>120</v>
      </c>
      <c r="E22" t="str">
        <f t="shared" si="0"/>
        <v>RAMP</v>
      </c>
      <c r="F22" s="1" t="s">
        <v>121</v>
      </c>
      <c r="G22" t="str">
        <f t="shared" si="1"/>
        <v>GROUND</v>
      </c>
      <c r="H22" s="1" t="s">
        <v>122</v>
      </c>
      <c r="J22" t="str">
        <f t="shared" si="2"/>
        <v>'RAMP': 'GROUND',</v>
      </c>
    </row>
    <row r="23" spans="1:10" x14ac:dyDescent="0.25">
      <c r="A23" t="s">
        <v>22</v>
      </c>
      <c r="B23" t="s">
        <v>13</v>
      </c>
      <c r="D23" s="1" t="s">
        <v>120</v>
      </c>
      <c r="E23" t="str">
        <f t="shared" si="0"/>
        <v>VEHICLE DRIVER</v>
      </c>
      <c r="F23" s="1" t="s">
        <v>121</v>
      </c>
      <c r="G23" t="str">
        <f t="shared" si="1"/>
        <v>GROUND</v>
      </c>
      <c r="H23" s="1" t="s">
        <v>122</v>
      </c>
      <c r="J23" t="str">
        <f t="shared" si="2"/>
        <v>'VEHICLE DRIVER': 'GROUND',</v>
      </c>
    </row>
    <row r="24" spans="1:10" x14ac:dyDescent="0.25">
      <c r="A24" t="s">
        <v>23</v>
      </c>
      <c r="B24" t="s">
        <v>24</v>
      </c>
      <c r="D24" s="1" t="s">
        <v>120</v>
      </c>
      <c r="E24" t="str">
        <f t="shared" si="0"/>
        <v>CFI</v>
      </c>
      <c r="F24" s="1" t="s">
        <v>121</v>
      </c>
      <c r="G24" t="str">
        <f t="shared" si="1"/>
        <v>INSTRUCTION / EXAM</v>
      </c>
      <c r="H24" s="1" t="s">
        <v>122</v>
      </c>
      <c r="J24" t="str">
        <f t="shared" si="2"/>
        <v>'CFI': 'INSTRUCTION / EXAM',</v>
      </c>
    </row>
    <row r="25" spans="1:10" x14ac:dyDescent="0.25">
      <c r="A25" t="s">
        <v>25</v>
      </c>
      <c r="B25" t="s">
        <v>24</v>
      </c>
      <c r="D25" s="1" t="s">
        <v>120</v>
      </c>
      <c r="E25" t="str">
        <f t="shared" si="0"/>
        <v>CFI-GFRONT;COMM-GREAR</v>
      </c>
      <c r="F25" s="1" t="s">
        <v>121</v>
      </c>
      <c r="G25" t="str">
        <f t="shared" si="1"/>
        <v>INSTRUCTION / EXAM</v>
      </c>
      <c r="H25" s="1" t="s">
        <v>122</v>
      </c>
      <c r="J25" t="str">
        <f t="shared" si="2"/>
        <v>'CFI-GFRONT;COMM-GREAR': 'INSTRUCTION / EXAM',</v>
      </c>
    </row>
    <row r="26" spans="1:10" x14ac:dyDescent="0.25">
      <c r="A26" t="s">
        <v>26</v>
      </c>
      <c r="B26" t="s">
        <v>24</v>
      </c>
      <c r="D26" s="1" t="s">
        <v>120</v>
      </c>
      <c r="E26" t="str">
        <f t="shared" si="0"/>
        <v>CFII WAS PRESENT</v>
      </c>
      <c r="F26" s="1" t="s">
        <v>121</v>
      </c>
      <c r="G26" t="str">
        <f t="shared" si="1"/>
        <v>INSTRUCTION / EXAM</v>
      </c>
      <c r="H26" s="1" t="s">
        <v>122</v>
      </c>
      <c r="J26" t="str">
        <f t="shared" si="2"/>
        <v>'CFII WAS PRESENT': 'INSTRUCTION / EXAM',</v>
      </c>
    </row>
    <row r="27" spans="1:10" x14ac:dyDescent="0.25">
      <c r="A27" t="s">
        <v>27</v>
      </c>
      <c r="B27" t="s">
        <v>24</v>
      </c>
      <c r="D27" s="1" t="s">
        <v>120</v>
      </c>
      <c r="E27" t="str">
        <f t="shared" si="0"/>
        <v>DESIGNATED PILOT EXAMINER</v>
      </c>
      <c r="F27" s="1" t="s">
        <v>121</v>
      </c>
      <c r="G27" t="str">
        <f t="shared" si="1"/>
        <v>INSTRUCTION / EXAM</v>
      </c>
      <c r="H27" s="1" t="s">
        <v>122</v>
      </c>
      <c r="J27" t="str">
        <f t="shared" si="2"/>
        <v>'DESIGNATED PILOT EXAMINER': 'INSTRUCTION / EXAM',</v>
      </c>
    </row>
    <row r="28" spans="1:10" x14ac:dyDescent="0.25">
      <c r="A28" t="s">
        <v>28</v>
      </c>
      <c r="B28" t="s">
        <v>24</v>
      </c>
      <c r="D28" s="1" t="s">
        <v>120</v>
      </c>
      <c r="E28" t="str">
        <f t="shared" si="0"/>
        <v>DPE</v>
      </c>
      <c r="F28" s="1" t="s">
        <v>121</v>
      </c>
      <c r="G28" t="str">
        <f t="shared" si="1"/>
        <v>INSTRUCTION / EXAM</v>
      </c>
      <c r="H28" s="1" t="s">
        <v>122</v>
      </c>
      <c r="J28" t="str">
        <f t="shared" si="2"/>
        <v>'DPE': 'INSTRUCTION / EXAM',</v>
      </c>
    </row>
    <row r="29" spans="1:10" x14ac:dyDescent="0.25">
      <c r="A29" t="s">
        <v>29</v>
      </c>
      <c r="B29" t="s">
        <v>24</v>
      </c>
      <c r="D29" s="1" t="s">
        <v>120</v>
      </c>
      <c r="E29" t="str">
        <f t="shared" si="0"/>
        <v>DUAL FLIGHT</v>
      </c>
      <c r="F29" s="1" t="s">
        <v>121</v>
      </c>
      <c r="G29" t="str">
        <f t="shared" si="1"/>
        <v>INSTRUCTION / EXAM</v>
      </c>
      <c r="H29" s="1" t="s">
        <v>122</v>
      </c>
      <c r="J29" t="str">
        <f t="shared" si="2"/>
        <v>'DUAL FLIGHT': 'INSTRUCTION / EXAM',</v>
      </c>
    </row>
    <row r="30" spans="1:10" x14ac:dyDescent="0.25">
      <c r="A30" t="s">
        <v>30</v>
      </c>
      <c r="B30" t="s">
        <v>24</v>
      </c>
      <c r="D30" s="1" t="s">
        <v>120</v>
      </c>
      <c r="E30" t="str">
        <f t="shared" si="0"/>
        <v>DUAL FLIGHT INSTRUCTION</v>
      </c>
      <c r="F30" s="1" t="s">
        <v>121</v>
      </c>
      <c r="G30" t="str">
        <f t="shared" si="1"/>
        <v>INSTRUCTION / EXAM</v>
      </c>
      <c r="H30" s="1" t="s">
        <v>122</v>
      </c>
      <c r="J30" t="str">
        <f t="shared" si="2"/>
        <v>'DUAL FLIGHT INSTRUCTION': 'INSTRUCTION / EXAM',</v>
      </c>
    </row>
    <row r="31" spans="1:10" x14ac:dyDescent="0.25">
      <c r="A31" t="s">
        <v>31</v>
      </c>
      <c r="B31" t="s">
        <v>24</v>
      </c>
      <c r="D31" s="1" t="s">
        <v>120</v>
      </c>
      <c r="E31" t="str">
        <f t="shared" si="0"/>
        <v>DUAL INSTRUCTION FLIGHT</v>
      </c>
      <c r="F31" s="1" t="s">
        <v>121</v>
      </c>
      <c r="G31" t="str">
        <f t="shared" si="1"/>
        <v>INSTRUCTION / EXAM</v>
      </c>
      <c r="H31" s="1" t="s">
        <v>122</v>
      </c>
      <c r="J31" t="str">
        <f t="shared" si="2"/>
        <v>'DUAL INSTRUCTION FLIGHT': 'INSTRUCTION / EXAM',</v>
      </c>
    </row>
    <row r="32" spans="1:10" x14ac:dyDescent="0.25">
      <c r="A32" t="s">
        <v>32</v>
      </c>
      <c r="B32" t="s">
        <v>24</v>
      </c>
      <c r="D32" s="1" t="s">
        <v>120</v>
      </c>
      <c r="E32" t="str">
        <f t="shared" si="0"/>
        <v>FLYING WITH INSTRUCTOR</v>
      </c>
      <c r="F32" s="1" t="s">
        <v>121</v>
      </c>
      <c r="G32" t="str">
        <f t="shared" si="1"/>
        <v>INSTRUCTION / EXAM</v>
      </c>
      <c r="H32" s="1" t="s">
        <v>122</v>
      </c>
      <c r="J32" t="str">
        <f t="shared" si="2"/>
        <v>'FLYING WITH INSTRUCTOR': 'INSTRUCTION / EXAM',</v>
      </c>
    </row>
    <row r="33" spans="1:10" x14ac:dyDescent="0.25">
      <c r="A33" t="s">
        <v>33</v>
      </c>
      <c r="B33" t="s">
        <v>24</v>
      </c>
      <c r="D33" s="1" t="s">
        <v>120</v>
      </c>
      <c r="E33" t="str">
        <f t="shared" si="0"/>
        <v>INSTRUMENT STUDENT</v>
      </c>
      <c r="F33" s="1" t="s">
        <v>121</v>
      </c>
      <c r="G33" t="str">
        <f t="shared" si="1"/>
        <v>INSTRUCTION / EXAM</v>
      </c>
      <c r="H33" s="1" t="s">
        <v>122</v>
      </c>
      <c r="J33" t="str">
        <f t="shared" si="2"/>
        <v>'INSTRUMENT STUDENT': 'INSTRUCTION / EXAM',</v>
      </c>
    </row>
    <row r="34" spans="1:10" x14ac:dyDescent="0.25">
      <c r="A34" t="s">
        <v>34</v>
      </c>
      <c r="B34" t="s">
        <v>24</v>
      </c>
      <c r="D34" s="1" t="s">
        <v>120</v>
      </c>
      <c r="E34" t="str">
        <f t="shared" si="0"/>
        <v>LINE CHECK AIRMAN</v>
      </c>
      <c r="F34" s="1" t="s">
        <v>121</v>
      </c>
      <c r="G34" t="str">
        <f t="shared" si="1"/>
        <v>INSTRUCTION / EXAM</v>
      </c>
      <c r="H34" s="1" t="s">
        <v>122</v>
      </c>
      <c r="J34" t="str">
        <f t="shared" si="2"/>
        <v>'LINE CHECK AIRMAN': 'INSTRUCTION / EXAM',</v>
      </c>
    </row>
    <row r="35" spans="1:10" x14ac:dyDescent="0.25">
      <c r="A35" t="s">
        <v>35</v>
      </c>
      <c r="B35" t="s">
        <v>24</v>
      </c>
      <c r="D35" s="1" t="s">
        <v>120</v>
      </c>
      <c r="E35" t="str">
        <f t="shared" si="0"/>
        <v>LINE CHECK AIRMAN/CAPTAIN</v>
      </c>
      <c r="F35" s="1" t="s">
        <v>121</v>
      </c>
      <c r="G35" t="str">
        <f t="shared" si="1"/>
        <v>INSTRUCTION / EXAM</v>
      </c>
      <c r="H35" s="1" t="s">
        <v>122</v>
      </c>
      <c r="J35" t="str">
        <f t="shared" si="2"/>
        <v>'LINE CHECK AIRMAN/CAPTAIN': 'INSTRUCTION / EXAM',</v>
      </c>
    </row>
    <row r="36" spans="1:10" x14ac:dyDescent="0.25">
      <c r="A36" t="s">
        <v>36</v>
      </c>
      <c r="B36" t="s">
        <v>24</v>
      </c>
      <c r="D36" s="1" t="s">
        <v>120</v>
      </c>
      <c r="E36" t="str">
        <f t="shared" si="0"/>
        <v>LINEMAN</v>
      </c>
      <c r="F36" s="1" t="s">
        <v>121</v>
      </c>
      <c r="G36" t="str">
        <f t="shared" si="1"/>
        <v>INSTRUCTION / EXAM</v>
      </c>
      <c r="H36" s="1" t="s">
        <v>122</v>
      </c>
      <c r="J36" t="str">
        <f t="shared" si="2"/>
        <v>'LINEMAN': 'INSTRUCTION / EXAM',</v>
      </c>
    </row>
    <row r="37" spans="1:10" x14ac:dyDescent="0.25">
      <c r="A37" t="s">
        <v>37</v>
      </c>
      <c r="B37" t="s">
        <v>24</v>
      </c>
      <c r="D37" s="1" t="s">
        <v>120</v>
      </c>
      <c r="E37" t="str">
        <f t="shared" si="0"/>
        <v>SAFETY PILOT</v>
      </c>
      <c r="F37" s="1" t="s">
        <v>121</v>
      </c>
      <c r="G37" t="str">
        <f t="shared" si="1"/>
        <v>INSTRUCTION / EXAM</v>
      </c>
      <c r="H37" s="1" t="s">
        <v>122</v>
      </c>
      <c r="J37" t="str">
        <f t="shared" si="2"/>
        <v>'SAFETY PILOT': 'INSTRUCTION / EXAM',</v>
      </c>
    </row>
    <row r="38" spans="1:10" x14ac:dyDescent="0.25">
      <c r="A38" t="s">
        <v>38</v>
      </c>
      <c r="B38" t="s">
        <v>24</v>
      </c>
      <c r="D38" s="1" t="s">
        <v>120</v>
      </c>
      <c r="E38" t="str">
        <f t="shared" si="0"/>
        <v>STUDENTS INSTRUCTOR</v>
      </c>
      <c r="F38" s="1" t="s">
        <v>121</v>
      </c>
      <c r="G38" t="str">
        <f t="shared" si="1"/>
        <v>INSTRUCTION / EXAM</v>
      </c>
      <c r="H38" s="1" t="s">
        <v>122</v>
      </c>
      <c r="J38" t="str">
        <f t="shared" si="2"/>
        <v>'STUDENTS INSTRUCTOR': 'INSTRUCTION / EXAM',</v>
      </c>
    </row>
    <row r="39" spans="1:10" x14ac:dyDescent="0.25">
      <c r="A39" t="s">
        <v>39</v>
      </c>
      <c r="B39" t="s">
        <v>24</v>
      </c>
      <c r="D39" s="1" t="s">
        <v>120</v>
      </c>
      <c r="E39" t="str">
        <f t="shared" si="0"/>
        <v>SUPERVISOR OF FLYING</v>
      </c>
      <c r="F39" s="1" t="s">
        <v>121</v>
      </c>
      <c r="G39" t="str">
        <f t="shared" si="1"/>
        <v>INSTRUCTION / EXAM</v>
      </c>
      <c r="H39" s="1" t="s">
        <v>122</v>
      </c>
      <c r="J39" t="str">
        <f t="shared" si="2"/>
        <v>'SUPERVISOR OF FLYING': 'INSTRUCTION / EXAM',</v>
      </c>
    </row>
    <row r="40" spans="1:10" x14ac:dyDescent="0.25">
      <c r="A40" t="s">
        <v>40</v>
      </c>
      <c r="B40" t="s">
        <v>24</v>
      </c>
      <c r="D40" s="1" t="s">
        <v>120</v>
      </c>
      <c r="E40" t="str">
        <f t="shared" si="0"/>
        <v>WITH DPE</v>
      </c>
      <c r="F40" s="1" t="s">
        <v>121</v>
      </c>
      <c r="G40" t="str">
        <f t="shared" si="1"/>
        <v>INSTRUCTION / EXAM</v>
      </c>
      <c r="H40" s="1" t="s">
        <v>122</v>
      </c>
      <c r="J40" t="str">
        <f t="shared" si="2"/>
        <v>'WITH DPE': 'INSTRUCTION / EXAM',</v>
      </c>
    </row>
    <row r="41" spans="1:10" x14ac:dyDescent="0.25">
      <c r="A41" t="s">
        <v>41</v>
      </c>
      <c r="B41" t="s">
        <v>42</v>
      </c>
      <c r="D41" s="1" t="s">
        <v>120</v>
      </c>
      <c r="E41" t="str">
        <f t="shared" si="0"/>
        <v>AVIATION SAFETY OFFICER</v>
      </c>
      <c r="F41" s="1" t="s">
        <v>121</v>
      </c>
      <c r="G41" t="str">
        <f t="shared" si="1"/>
        <v>MAINTENANCE / SAFETY</v>
      </c>
      <c r="H41" s="1" t="s">
        <v>122</v>
      </c>
      <c r="J41" t="str">
        <f t="shared" si="2"/>
        <v>'AVIATION SAFETY OFFICER': 'MAINTENANCE / SAFETY',</v>
      </c>
    </row>
    <row r="42" spans="1:10" x14ac:dyDescent="0.25">
      <c r="A42" t="s">
        <v>43</v>
      </c>
      <c r="B42" t="s">
        <v>42</v>
      </c>
      <c r="D42" s="1" t="s">
        <v>120</v>
      </c>
      <c r="E42" t="str">
        <f t="shared" si="0"/>
        <v>FLIGHT ENGINEER / SECOND OFFICER</v>
      </c>
      <c r="F42" s="1" t="s">
        <v>121</v>
      </c>
      <c r="G42" t="str">
        <f t="shared" si="1"/>
        <v>MAINTENANCE / SAFETY</v>
      </c>
      <c r="H42" s="1" t="s">
        <v>122</v>
      </c>
      <c r="J42" t="str">
        <f t="shared" si="2"/>
        <v>'FLIGHT ENGINEER / SECOND OFFICER': 'MAINTENANCE / SAFETY',</v>
      </c>
    </row>
    <row r="43" spans="1:10" x14ac:dyDescent="0.25">
      <c r="A43" t="s">
        <v>44</v>
      </c>
      <c r="B43" t="s">
        <v>42</v>
      </c>
      <c r="D43" s="1" t="s">
        <v>120</v>
      </c>
      <c r="E43" t="str">
        <f t="shared" si="0"/>
        <v>FLIGHT SAFETY OFFICER</v>
      </c>
      <c r="F43" s="1" t="s">
        <v>121</v>
      </c>
      <c r="G43" t="str">
        <f t="shared" si="1"/>
        <v>MAINTENANCE / SAFETY</v>
      </c>
      <c r="H43" s="1" t="s">
        <v>122</v>
      </c>
      <c r="J43" t="str">
        <f t="shared" si="2"/>
        <v>'FLIGHT SAFETY OFFICER': 'MAINTENANCE / SAFETY',</v>
      </c>
    </row>
    <row r="44" spans="1:10" x14ac:dyDescent="0.25">
      <c r="A44" t="s">
        <v>45</v>
      </c>
      <c r="B44" t="s">
        <v>42</v>
      </c>
      <c r="D44" s="1" t="s">
        <v>120</v>
      </c>
      <c r="E44" t="str">
        <f t="shared" si="0"/>
        <v>FSDO POI</v>
      </c>
      <c r="F44" s="1" t="s">
        <v>121</v>
      </c>
      <c r="G44" t="str">
        <f t="shared" si="1"/>
        <v>MAINTENANCE / SAFETY</v>
      </c>
      <c r="H44" s="1" t="s">
        <v>122</v>
      </c>
      <c r="J44" t="str">
        <f t="shared" si="2"/>
        <v>'FSDO POI': 'MAINTENANCE / SAFETY',</v>
      </c>
    </row>
    <row r="45" spans="1:10" x14ac:dyDescent="0.25">
      <c r="A45" t="s">
        <v>46</v>
      </c>
      <c r="B45" t="s">
        <v>42</v>
      </c>
      <c r="D45" s="1" t="s">
        <v>120</v>
      </c>
      <c r="E45" t="str">
        <f t="shared" si="0"/>
        <v>INSPECTOR</v>
      </c>
      <c r="F45" s="1" t="s">
        <v>121</v>
      </c>
      <c r="G45" t="str">
        <f t="shared" si="1"/>
        <v>MAINTENANCE / SAFETY</v>
      </c>
      <c r="H45" s="1" t="s">
        <v>122</v>
      </c>
      <c r="J45" t="str">
        <f t="shared" si="2"/>
        <v>'INSPECTOR': 'MAINTENANCE / SAFETY',</v>
      </c>
    </row>
    <row r="46" spans="1:10" x14ac:dyDescent="0.25">
      <c r="A46" t="s">
        <v>47</v>
      </c>
      <c r="B46" t="s">
        <v>42</v>
      </c>
      <c r="D46" s="1" t="s">
        <v>120</v>
      </c>
      <c r="E46" t="str">
        <f t="shared" si="0"/>
        <v>LEAD TECHNICIAN</v>
      </c>
      <c r="F46" s="1" t="s">
        <v>121</v>
      </c>
      <c r="G46" t="str">
        <f t="shared" si="1"/>
        <v>MAINTENANCE / SAFETY</v>
      </c>
      <c r="H46" s="1" t="s">
        <v>122</v>
      </c>
      <c r="J46" t="str">
        <f t="shared" si="2"/>
        <v>'LEAD TECHNICIAN': 'MAINTENANCE / SAFETY',</v>
      </c>
    </row>
    <row r="47" spans="1:10" x14ac:dyDescent="0.25">
      <c r="A47" t="s">
        <v>48</v>
      </c>
      <c r="B47" t="s">
        <v>42</v>
      </c>
      <c r="D47" s="1" t="s">
        <v>120</v>
      </c>
      <c r="E47" t="str">
        <f t="shared" si="0"/>
        <v>MAINTENANCE MANAGER</v>
      </c>
      <c r="F47" s="1" t="s">
        <v>121</v>
      </c>
      <c r="G47" t="str">
        <f t="shared" si="1"/>
        <v>MAINTENANCE / SAFETY</v>
      </c>
      <c r="H47" s="1" t="s">
        <v>122</v>
      </c>
      <c r="J47" t="str">
        <f t="shared" si="2"/>
        <v>'MAINTENANCE MANAGER': 'MAINTENANCE / SAFETY',</v>
      </c>
    </row>
    <row r="48" spans="1:10" x14ac:dyDescent="0.25">
      <c r="A48" t="s">
        <v>49</v>
      </c>
      <c r="B48" t="s">
        <v>42</v>
      </c>
      <c r="D48" s="1" t="s">
        <v>120</v>
      </c>
      <c r="E48" t="str">
        <f t="shared" si="0"/>
        <v>MANAGER</v>
      </c>
      <c r="F48" s="1" t="s">
        <v>121</v>
      </c>
      <c r="G48" t="str">
        <f t="shared" si="1"/>
        <v>MAINTENANCE / SAFETY</v>
      </c>
      <c r="H48" s="1" t="s">
        <v>122</v>
      </c>
      <c r="J48" t="str">
        <f t="shared" si="2"/>
        <v>'MANAGER': 'MAINTENANCE / SAFETY',</v>
      </c>
    </row>
    <row r="49" spans="1:10" x14ac:dyDescent="0.25">
      <c r="A49" t="s">
        <v>50</v>
      </c>
      <c r="B49" t="s">
        <v>42</v>
      </c>
      <c r="D49" s="1" t="s">
        <v>120</v>
      </c>
      <c r="E49" t="str">
        <f t="shared" si="0"/>
        <v>MANAGER - REGULATORY COMPLIANCE</v>
      </c>
      <c r="F49" s="1" t="s">
        <v>121</v>
      </c>
      <c r="G49" t="str">
        <f t="shared" si="1"/>
        <v>MAINTENANCE / SAFETY</v>
      </c>
      <c r="H49" s="1" t="s">
        <v>122</v>
      </c>
      <c r="J49" t="str">
        <f t="shared" si="2"/>
        <v>'MANAGER - REGULATORY COMPLIANCE': 'MAINTENANCE / SAFETY',</v>
      </c>
    </row>
    <row r="50" spans="1:10" x14ac:dyDescent="0.25">
      <c r="A50" t="s">
        <v>51</v>
      </c>
      <c r="B50" t="s">
        <v>42</v>
      </c>
      <c r="D50" s="1" t="s">
        <v>120</v>
      </c>
      <c r="E50" t="str">
        <f t="shared" si="0"/>
        <v>PARTS / STORES PERSONNEL</v>
      </c>
      <c r="F50" s="1" t="s">
        <v>121</v>
      </c>
      <c r="G50" t="str">
        <f t="shared" si="1"/>
        <v>MAINTENANCE / SAFETY</v>
      </c>
      <c r="H50" s="1" t="s">
        <v>122</v>
      </c>
      <c r="J50" t="str">
        <f t="shared" si="2"/>
        <v>'PARTS / STORES PERSONNEL': 'MAINTENANCE / SAFETY',</v>
      </c>
    </row>
    <row r="51" spans="1:10" x14ac:dyDescent="0.25">
      <c r="A51" t="s">
        <v>52</v>
      </c>
      <c r="B51" t="s">
        <v>42</v>
      </c>
      <c r="D51" s="1" t="s">
        <v>120</v>
      </c>
      <c r="E51" t="str">
        <f t="shared" si="0"/>
        <v>QUALITY ASSURANCE / AUDIT</v>
      </c>
      <c r="F51" s="1" t="s">
        <v>121</v>
      </c>
      <c r="G51" t="str">
        <f t="shared" si="1"/>
        <v>MAINTENANCE / SAFETY</v>
      </c>
      <c r="H51" s="1" t="s">
        <v>122</v>
      </c>
      <c r="J51" t="str">
        <f t="shared" si="2"/>
        <v>'QUALITY ASSURANCE / AUDIT': 'MAINTENANCE / SAFETY',</v>
      </c>
    </row>
    <row r="52" spans="1:10" x14ac:dyDescent="0.25">
      <c r="A52" t="s">
        <v>53</v>
      </c>
      <c r="B52" t="s">
        <v>42</v>
      </c>
      <c r="D52" s="1" t="s">
        <v>120</v>
      </c>
      <c r="E52" t="str">
        <f t="shared" si="0"/>
        <v>SAFETY ANALYST</v>
      </c>
      <c r="F52" s="1" t="s">
        <v>121</v>
      </c>
      <c r="G52" t="str">
        <f t="shared" si="1"/>
        <v>MAINTENANCE / SAFETY</v>
      </c>
      <c r="H52" s="1" t="s">
        <v>122</v>
      </c>
      <c r="J52" t="str">
        <f t="shared" si="2"/>
        <v>'SAFETY ANALYST': 'MAINTENANCE / SAFETY',</v>
      </c>
    </row>
    <row r="53" spans="1:10" x14ac:dyDescent="0.25">
      <c r="A53" t="s">
        <v>54</v>
      </c>
      <c r="B53" t="s">
        <v>42</v>
      </c>
      <c r="D53" s="1" t="s">
        <v>120</v>
      </c>
      <c r="E53" t="str">
        <f t="shared" si="0"/>
        <v>SAFETY ANANLYST</v>
      </c>
      <c r="F53" s="1" t="s">
        <v>121</v>
      </c>
      <c r="G53" t="str">
        <f t="shared" si="1"/>
        <v>MAINTENANCE / SAFETY</v>
      </c>
      <c r="H53" s="1" t="s">
        <v>122</v>
      </c>
      <c r="J53" t="str">
        <f t="shared" si="2"/>
        <v>'SAFETY ANANLYST': 'MAINTENANCE / SAFETY',</v>
      </c>
    </row>
    <row r="54" spans="1:10" x14ac:dyDescent="0.25">
      <c r="A54" t="s">
        <v>55</v>
      </c>
      <c r="B54" t="s">
        <v>42</v>
      </c>
      <c r="D54" s="1" t="s">
        <v>120</v>
      </c>
      <c r="E54" t="str">
        <f t="shared" si="0"/>
        <v>SAFETY INVESTIGATOR</v>
      </c>
      <c r="F54" s="1" t="s">
        <v>121</v>
      </c>
      <c r="G54" t="str">
        <f t="shared" si="1"/>
        <v>MAINTENANCE / SAFETY</v>
      </c>
      <c r="H54" s="1" t="s">
        <v>122</v>
      </c>
      <c r="J54" t="str">
        <f t="shared" si="2"/>
        <v>'SAFETY INVESTIGATOR': 'MAINTENANCE / SAFETY',</v>
      </c>
    </row>
    <row r="55" spans="1:10" x14ac:dyDescent="0.25">
      <c r="A55" t="s">
        <v>56</v>
      </c>
      <c r="B55" t="s">
        <v>42</v>
      </c>
      <c r="D55" s="1" t="s">
        <v>120</v>
      </c>
      <c r="E55" t="str">
        <f t="shared" si="0"/>
        <v>SAFETY MANAGER</v>
      </c>
      <c r="F55" s="1" t="s">
        <v>121</v>
      </c>
      <c r="G55" t="str">
        <f t="shared" si="1"/>
        <v>MAINTENANCE / SAFETY</v>
      </c>
      <c r="H55" s="1" t="s">
        <v>122</v>
      </c>
      <c r="J55" t="str">
        <f t="shared" si="2"/>
        <v>'SAFETY MANAGER': 'MAINTENANCE / SAFETY',</v>
      </c>
    </row>
    <row r="56" spans="1:10" x14ac:dyDescent="0.25">
      <c r="A56" t="s">
        <v>57</v>
      </c>
      <c r="B56" t="s">
        <v>42</v>
      </c>
      <c r="D56" s="1" t="s">
        <v>120</v>
      </c>
      <c r="E56" t="str">
        <f t="shared" si="0"/>
        <v>SAFETY OFFICE</v>
      </c>
      <c r="F56" s="1" t="s">
        <v>121</v>
      </c>
      <c r="G56" t="str">
        <f t="shared" si="1"/>
        <v>MAINTENANCE / SAFETY</v>
      </c>
      <c r="H56" s="1" t="s">
        <v>122</v>
      </c>
      <c r="J56" t="str">
        <f t="shared" si="2"/>
        <v>'SAFETY OFFICE': 'MAINTENANCE / SAFETY',</v>
      </c>
    </row>
    <row r="57" spans="1:10" x14ac:dyDescent="0.25">
      <c r="A57" t="s">
        <v>58</v>
      </c>
      <c r="B57" t="s">
        <v>42</v>
      </c>
      <c r="D57" s="1" t="s">
        <v>120</v>
      </c>
      <c r="E57" t="str">
        <f t="shared" si="0"/>
        <v>SAFETY OFFICER</v>
      </c>
      <c r="F57" s="1" t="s">
        <v>121</v>
      </c>
      <c r="G57" t="str">
        <f t="shared" si="1"/>
        <v>MAINTENANCE / SAFETY</v>
      </c>
      <c r="H57" s="1" t="s">
        <v>122</v>
      </c>
      <c r="J57" t="str">
        <f t="shared" si="2"/>
        <v>'SAFETY OFFICER': 'MAINTENANCE / SAFETY',</v>
      </c>
    </row>
    <row r="58" spans="1:10" x14ac:dyDescent="0.25">
      <c r="A58" t="s">
        <v>59</v>
      </c>
      <c r="B58" t="s">
        <v>42</v>
      </c>
      <c r="D58" s="1" t="s">
        <v>120</v>
      </c>
      <c r="E58" t="str">
        <f t="shared" si="0"/>
        <v>SMS ANALYST</v>
      </c>
      <c r="F58" s="1" t="s">
        <v>121</v>
      </c>
      <c r="G58" t="str">
        <f t="shared" si="1"/>
        <v>MAINTENANCE / SAFETY</v>
      </c>
      <c r="H58" s="1" t="s">
        <v>122</v>
      </c>
      <c r="J58" t="str">
        <f t="shared" si="2"/>
        <v>'SMS ANALYST': 'MAINTENANCE / SAFETY',</v>
      </c>
    </row>
    <row r="59" spans="1:10" x14ac:dyDescent="0.25">
      <c r="A59" t="s">
        <v>60</v>
      </c>
      <c r="B59" t="s">
        <v>42</v>
      </c>
      <c r="D59" s="1" t="s">
        <v>120</v>
      </c>
      <c r="E59" t="str">
        <f t="shared" si="0"/>
        <v>TECHNICIAN</v>
      </c>
      <c r="F59" s="1" t="s">
        <v>121</v>
      </c>
      <c r="G59" t="str">
        <f t="shared" si="1"/>
        <v>MAINTENANCE / SAFETY</v>
      </c>
      <c r="H59" s="1" t="s">
        <v>122</v>
      </c>
      <c r="J59" t="str">
        <f t="shared" si="2"/>
        <v>'TECHNICIAN': 'MAINTENANCE / SAFETY',</v>
      </c>
    </row>
    <row r="60" spans="1:10" x14ac:dyDescent="0.25">
      <c r="A60" t="s">
        <v>61</v>
      </c>
      <c r="B60" t="s">
        <v>62</v>
      </c>
      <c r="D60" s="1" t="s">
        <v>120</v>
      </c>
      <c r="E60" t="str">
        <f t="shared" si="0"/>
        <v>OCEANIC</v>
      </c>
      <c r="F60" s="1" t="s">
        <v>121</v>
      </c>
      <c r="G60" t="str">
        <f t="shared" si="1"/>
        <v>OTHER / UNKNOWN</v>
      </c>
      <c r="H60" s="1" t="s">
        <v>122</v>
      </c>
      <c r="J60" t="str">
        <f t="shared" si="2"/>
        <v>'OCEANIC': 'OTHER / UNKNOWN',</v>
      </c>
    </row>
    <row r="61" spans="1:10" x14ac:dyDescent="0.25">
      <c r="A61" t="s">
        <v>63</v>
      </c>
      <c r="B61" t="s">
        <v>62</v>
      </c>
      <c r="D61" s="1" t="s">
        <v>120</v>
      </c>
      <c r="E61" t="str">
        <f t="shared" si="0"/>
        <v>CITIZEN</v>
      </c>
      <c r="F61" s="1" t="s">
        <v>121</v>
      </c>
      <c r="G61" t="str">
        <f t="shared" si="1"/>
        <v>OTHER / UNKNOWN</v>
      </c>
      <c r="H61" s="1" t="s">
        <v>122</v>
      </c>
      <c r="J61" t="str">
        <f t="shared" si="2"/>
        <v>'CITIZEN': 'OTHER / UNKNOWN',</v>
      </c>
    </row>
    <row r="62" spans="1:10" x14ac:dyDescent="0.25">
      <c r="A62" t="s">
        <v>64</v>
      </c>
      <c r="B62" t="s">
        <v>62</v>
      </c>
      <c r="D62" s="1" t="s">
        <v>120</v>
      </c>
      <c r="E62" t="str">
        <f t="shared" si="0"/>
        <v>COMPANY CEO</v>
      </c>
      <c r="F62" s="1" t="s">
        <v>121</v>
      </c>
      <c r="G62" t="str">
        <f t="shared" si="1"/>
        <v>OTHER / UNKNOWN</v>
      </c>
      <c r="H62" s="1" t="s">
        <v>122</v>
      </c>
      <c r="J62" t="str">
        <f t="shared" si="2"/>
        <v>'COMPANY CEO': 'OTHER / UNKNOWN',</v>
      </c>
    </row>
    <row r="63" spans="1:10" x14ac:dyDescent="0.25">
      <c r="A63" t="s">
        <v>65</v>
      </c>
      <c r="B63" t="s">
        <v>62</v>
      </c>
      <c r="D63" s="1" t="s">
        <v>120</v>
      </c>
      <c r="E63" t="str">
        <f t="shared" si="0"/>
        <v>LEFT SEAT DURING SIM IFR</v>
      </c>
      <c r="F63" s="1" t="s">
        <v>121</v>
      </c>
      <c r="G63" t="str">
        <f t="shared" si="1"/>
        <v>OTHER / UNKNOWN</v>
      </c>
      <c r="H63" s="1" t="s">
        <v>122</v>
      </c>
      <c r="J63" t="str">
        <f t="shared" si="2"/>
        <v>'LEFT SEAT DURING SIM IFR': 'OTHER / UNKNOWN',</v>
      </c>
    </row>
    <row r="64" spans="1:10" x14ac:dyDescent="0.25">
      <c r="A64" t="s">
        <v>66</v>
      </c>
      <c r="B64" t="s">
        <v>62</v>
      </c>
      <c r="D64" s="1" t="s">
        <v>120</v>
      </c>
      <c r="E64" t="str">
        <f t="shared" si="0"/>
        <v>LOCAL</v>
      </c>
      <c r="F64" s="1" t="s">
        <v>121</v>
      </c>
      <c r="G64" t="str">
        <f t="shared" si="1"/>
        <v>OTHER / UNKNOWN</v>
      </c>
      <c r="H64" s="1" t="s">
        <v>122</v>
      </c>
      <c r="J64" t="str">
        <f t="shared" si="2"/>
        <v>'LOCAL': 'OTHER / UNKNOWN',</v>
      </c>
    </row>
    <row r="65" spans="1:10" x14ac:dyDescent="0.25">
      <c r="A65" t="s">
        <v>67</v>
      </c>
      <c r="B65" t="s">
        <v>62</v>
      </c>
      <c r="D65" s="1" t="s">
        <v>120</v>
      </c>
      <c r="E65" t="str">
        <f t="shared" si="0"/>
        <v>NO PASSENGERS</v>
      </c>
      <c r="F65" s="1" t="s">
        <v>121</v>
      </c>
      <c r="G65" t="str">
        <f t="shared" si="1"/>
        <v>OTHER / UNKNOWN</v>
      </c>
      <c r="H65" s="1" t="s">
        <v>122</v>
      </c>
      <c r="J65" t="str">
        <f t="shared" si="2"/>
        <v>'NO PASSENGERS': 'OTHER / UNKNOWN',</v>
      </c>
    </row>
    <row r="66" spans="1:10" x14ac:dyDescent="0.25">
      <c r="A66" t="s">
        <v>68</v>
      </c>
      <c r="B66" t="s">
        <v>62</v>
      </c>
      <c r="D66" s="1" t="s">
        <v>120</v>
      </c>
      <c r="E66" t="str">
        <f t="shared" si="0"/>
        <v>OBSERVER</v>
      </c>
      <c r="F66" s="1" t="s">
        <v>121</v>
      </c>
      <c r="G66" t="str">
        <f t="shared" si="1"/>
        <v>OTHER / UNKNOWN</v>
      </c>
      <c r="H66" s="1" t="s">
        <v>122</v>
      </c>
      <c r="J66" t="str">
        <f t="shared" si="2"/>
        <v>'OBSERVER': 'OTHER / UNKNOWN',</v>
      </c>
    </row>
    <row r="67" spans="1:10" x14ac:dyDescent="0.25">
      <c r="A67" t="s">
        <v>69</v>
      </c>
      <c r="B67" t="s">
        <v>62</v>
      </c>
      <c r="D67" s="1" t="s">
        <v>120</v>
      </c>
      <c r="E67" t="str">
        <f t="shared" ref="E67:E115" si="3">A67</f>
        <v>OBSERVER/DEADHEADER</v>
      </c>
      <c r="F67" s="1" t="s">
        <v>121</v>
      </c>
      <c r="G67" t="str">
        <f t="shared" ref="G67:G115" si="4">B67</f>
        <v>OTHER / UNKNOWN</v>
      </c>
      <c r="H67" s="1" t="s">
        <v>122</v>
      </c>
      <c r="J67" t="str">
        <f t="shared" ref="J67:J115" si="5">_xlfn.CONCAT(D67:H67)</f>
        <v>'OBSERVER/DEADHEADER': 'OTHER / UNKNOWN',</v>
      </c>
    </row>
    <row r="68" spans="1:10" x14ac:dyDescent="0.25">
      <c r="A68" t="s">
        <v>70</v>
      </c>
      <c r="B68" t="s">
        <v>62</v>
      </c>
      <c r="D68" s="1" t="s">
        <v>120</v>
      </c>
      <c r="E68" t="str">
        <f t="shared" si="3"/>
        <v>OTHER</v>
      </c>
      <c r="F68" s="1" t="s">
        <v>121</v>
      </c>
      <c r="G68" t="str">
        <f t="shared" si="4"/>
        <v>OTHER / UNKNOWN</v>
      </c>
      <c r="H68" s="1" t="s">
        <v>122</v>
      </c>
      <c r="J68" t="str">
        <f t="shared" si="5"/>
        <v>'OTHER': 'OTHER / UNKNOWN',</v>
      </c>
    </row>
    <row r="69" spans="1:10" x14ac:dyDescent="0.25">
      <c r="A69" t="s">
        <v>62</v>
      </c>
      <c r="B69" t="s">
        <v>62</v>
      </c>
      <c r="D69" s="1" t="s">
        <v>120</v>
      </c>
      <c r="E69" t="str">
        <f t="shared" si="3"/>
        <v>OTHER / UNKNOWN</v>
      </c>
      <c r="F69" s="1" t="s">
        <v>121</v>
      </c>
      <c r="G69" t="str">
        <f t="shared" si="4"/>
        <v>OTHER / UNKNOWN</v>
      </c>
      <c r="H69" s="1" t="s">
        <v>122</v>
      </c>
      <c r="J69" t="str">
        <f t="shared" si="5"/>
        <v>'OTHER / UNKNOWN': 'OTHER / UNKNOWN',</v>
      </c>
    </row>
    <row r="70" spans="1:10" x14ac:dyDescent="0.25">
      <c r="A70" t="s">
        <v>71</v>
      </c>
      <c r="B70" t="s">
        <v>62</v>
      </c>
      <c r="D70" s="1" t="s">
        <v>120</v>
      </c>
      <c r="E70" t="str">
        <f t="shared" si="3"/>
        <v>PASSENGER</v>
      </c>
      <c r="F70" s="1" t="s">
        <v>121</v>
      </c>
      <c r="G70" t="str">
        <f t="shared" si="4"/>
        <v>OTHER / UNKNOWN</v>
      </c>
      <c r="H70" s="1" t="s">
        <v>122</v>
      </c>
      <c r="J70" t="str">
        <f t="shared" si="5"/>
        <v>'PASSENGER': 'OTHER / UNKNOWN',</v>
      </c>
    </row>
    <row r="71" spans="1:10" x14ac:dyDescent="0.25">
      <c r="A71" t="s">
        <v>72</v>
      </c>
      <c r="B71" t="s">
        <v>62</v>
      </c>
      <c r="D71" s="1" t="s">
        <v>120</v>
      </c>
      <c r="E71" t="str">
        <f t="shared" si="3"/>
        <v>SKYDIVER</v>
      </c>
      <c r="F71" s="1" t="s">
        <v>121</v>
      </c>
      <c r="G71" t="str">
        <f t="shared" si="4"/>
        <v>OTHER / UNKNOWN</v>
      </c>
      <c r="H71" s="1" t="s">
        <v>122</v>
      </c>
      <c r="J71" t="str">
        <f t="shared" si="5"/>
        <v>'SKYDIVER': 'OTHER / UNKNOWN',</v>
      </c>
    </row>
    <row r="72" spans="1:10" x14ac:dyDescent="0.25">
      <c r="A72" t="s">
        <v>73</v>
      </c>
      <c r="B72" t="s">
        <v>62</v>
      </c>
      <c r="D72" s="1" t="s">
        <v>120</v>
      </c>
      <c r="E72" t="str">
        <f t="shared" si="3"/>
        <v>UNKNOWN</v>
      </c>
      <c r="F72" s="1" t="s">
        <v>121</v>
      </c>
      <c r="G72" t="str">
        <f t="shared" si="4"/>
        <v>OTHER / UNKNOWN</v>
      </c>
      <c r="H72" s="1" t="s">
        <v>122</v>
      </c>
      <c r="J72" t="str">
        <f t="shared" si="5"/>
        <v>'UNKNOWN': 'OTHER / UNKNOWN',</v>
      </c>
    </row>
    <row r="73" spans="1:10" x14ac:dyDescent="0.25">
      <c r="A73" t="s">
        <v>74</v>
      </c>
      <c r="B73" t="s">
        <v>75</v>
      </c>
      <c r="D73" s="1" t="s">
        <v>120</v>
      </c>
      <c r="E73" t="str">
        <f t="shared" si="3"/>
        <v>FLIGHT SERVICE</v>
      </c>
      <c r="F73" s="1" t="s">
        <v>121</v>
      </c>
      <c r="G73" t="str">
        <f t="shared" si="4"/>
        <v>OTHER CREW</v>
      </c>
      <c r="H73" s="1" t="s">
        <v>122</v>
      </c>
      <c r="J73" t="str">
        <f t="shared" si="5"/>
        <v>'FLIGHT SERVICE': 'OTHER CREW',</v>
      </c>
    </row>
    <row r="74" spans="1:10" x14ac:dyDescent="0.25">
      <c r="A74" t="s">
        <v>76</v>
      </c>
      <c r="B74" t="s">
        <v>75</v>
      </c>
      <c r="D74" s="1" t="s">
        <v>120</v>
      </c>
      <c r="E74" t="str">
        <f t="shared" si="3"/>
        <v>ARMY H-60 CREW</v>
      </c>
      <c r="F74" s="1" t="s">
        <v>121</v>
      </c>
      <c r="G74" t="str">
        <f t="shared" si="4"/>
        <v>OTHER CREW</v>
      </c>
      <c r="H74" s="1" t="s">
        <v>122</v>
      </c>
      <c r="J74" t="str">
        <f t="shared" si="5"/>
        <v>'ARMY H-60 CREW': 'OTHER CREW',</v>
      </c>
    </row>
    <row r="75" spans="1:10" x14ac:dyDescent="0.25">
      <c r="A75" t="s">
        <v>77</v>
      </c>
      <c r="B75" t="s">
        <v>75</v>
      </c>
      <c r="D75" s="1" t="s">
        <v>120</v>
      </c>
      <c r="E75" t="str">
        <f t="shared" si="3"/>
        <v>FLIGHT ATTENDANT (ON DUTY)</v>
      </c>
      <c r="F75" s="1" t="s">
        <v>121</v>
      </c>
      <c r="G75" t="str">
        <f t="shared" si="4"/>
        <v>OTHER CREW</v>
      </c>
      <c r="H75" s="1" t="s">
        <v>122</v>
      </c>
      <c r="J75" t="str">
        <f t="shared" si="5"/>
        <v>'FLIGHT ATTENDANT (ON DUTY)': 'OTHER CREW',</v>
      </c>
    </row>
    <row r="76" spans="1:10" x14ac:dyDescent="0.25">
      <c r="A76" t="s">
        <v>78</v>
      </c>
      <c r="B76" t="s">
        <v>75</v>
      </c>
      <c r="D76" s="1" t="s">
        <v>120</v>
      </c>
      <c r="E76" t="str">
        <f t="shared" si="3"/>
        <v>FLIGHT ATTENDANT IN CHARGE</v>
      </c>
      <c r="F76" s="1" t="s">
        <v>121</v>
      </c>
      <c r="G76" t="str">
        <f t="shared" si="4"/>
        <v>OTHER CREW</v>
      </c>
      <c r="H76" s="1" t="s">
        <v>122</v>
      </c>
      <c r="J76" t="str">
        <f t="shared" si="5"/>
        <v>'FLIGHT ATTENDANT IN CHARGE': 'OTHER CREW',</v>
      </c>
    </row>
    <row r="77" spans="1:10" x14ac:dyDescent="0.25">
      <c r="A77" t="s">
        <v>79</v>
      </c>
      <c r="B77" t="s">
        <v>75</v>
      </c>
      <c r="D77" s="1" t="s">
        <v>120</v>
      </c>
      <c r="E77" t="str">
        <f t="shared" si="3"/>
        <v>MEDICAL CREW</v>
      </c>
      <c r="F77" s="1" t="s">
        <v>121</v>
      </c>
      <c r="G77" t="str">
        <f t="shared" si="4"/>
        <v>OTHER CREW</v>
      </c>
      <c r="H77" s="1" t="s">
        <v>122</v>
      </c>
      <c r="J77" t="str">
        <f t="shared" si="5"/>
        <v>'MEDICAL CREW': 'OTHER CREW',</v>
      </c>
    </row>
    <row r="78" spans="1:10" x14ac:dyDescent="0.25">
      <c r="A78" t="s">
        <v>80</v>
      </c>
      <c r="B78" t="s">
        <v>75</v>
      </c>
      <c r="D78" s="1" t="s">
        <v>120</v>
      </c>
      <c r="E78" t="str">
        <f t="shared" si="3"/>
        <v>OFF DUTY</v>
      </c>
      <c r="F78" s="1" t="s">
        <v>121</v>
      </c>
      <c r="G78" t="str">
        <f t="shared" si="4"/>
        <v>OTHER CREW</v>
      </c>
      <c r="H78" s="1" t="s">
        <v>122</v>
      </c>
      <c r="J78" t="str">
        <f t="shared" si="5"/>
        <v>'OFF DUTY': 'OTHER CREW',</v>
      </c>
    </row>
    <row r="79" spans="1:10" x14ac:dyDescent="0.25">
      <c r="A79" t="s">
        <v>81</v>
      </c>
      <c r="B79" t="s">
        <v>82</v>
      </c>
      <c r="D79" s="1" t="s">
        <v>120</v>
      </c>
      <c r="E79" t="str">
        <f t="shared" si="3"/>
        <v>CAPTAIN</v>
      </c>
      <c r="F79" s="1" t="s">
        <v>121</v>
      </c>
      <c r="G79" t="str">
        <f t="shared" si="4"/>
        <v>PILOT</v>
      </c>
      <c r="H79" s="1" t="s">
        <v>122</v>
      </c>
      <c r="J79" t="str">
        <f t="shared" si="5"/>
        <v>'CAPTAIN': 'PILOT',</v>
      </c>
    </row>
    <row r="80" spans="1:10" x14ac:dyDescent="0.25">
      <c r="A80" t="s">
        <v>83</v>
      </c>
      <c r="B80" t="s">
        <v>82</v>
      </c>
      <c r="D80" s="1" t="s">
        <v>120</v>
      </c>
      <c r="E80" t="str">
        <f t="shared" si="3"/>
        <v>CHECK PILOT</v>
      </c>
      <c r="F80" s="1" t="s">
        <v>121</v>
      </c>
      <c r="G80" t="str">
        <f t="shared" si="4"/>
        <v>PILOT</v>
      </c>
      <c r="H80" s="1" t="s">
        <v>122</v>
      </c>
      <c r="J80" t="str">
        <f t="shared" si="5"/>
        <v>'CHECK PILOT': 'PILOT',</v>
      </c>
    </row>
    <row r="81" spans="1:10" x14ac:dyDescent="0.25">
      <c r="A81" t="s">
        <v>84</v>
      </c>
      <c r="B81" t="s">
        <v>82</v>
      </c>
      <c r="D81" s="1" t="s">
        <v>120</v>
      </c>
      <c r="E81" t="str">
        <f t="shared" si="3"/>
        <v>CIVL AIR PTRL CHECK PILOT</v>
      </c>
      <c r="F81" s="1" t="s">
        <v>121</v>
      </c>
      <c r="G81" t="str">
        <f t="shared" si="4"/>
        <v>PILOT</v>
      </c>
      <c r="H81" s="1" t="s">
        <v>122</v>
      </c>
      <c r="J81" t="str">
        <f t="shared" si="5"/>
        <v>'CIVL AIR PTRL CHECK PILOT': 'PILOT',</v>
      </c>
    </row>
    <row r="82" spans="1:10" x14ac:dyDescent="0.25">
      <c r="A82" t="s">
        <v>85</v>
      </c>
      <c r="B82" t="s">
        <v>82</v>
      </c>
      <c r="D82" s="1" t="s">
        <v>120</v>
      </c>
      <c r="E82" t="str">
        <f t="shared" si="3"/>
        <v>COMMERCIAL STUDENT</v>
      </c>
      <c r="F82" s="1" t="s">
        <v>121</v>
      </c>
      <c r="G82" t="str">
        <f t="shared" si="4"/>
        <v>PILOT</v>
      </c>
      <c r="H82" s="1" t="s">
        <v>122</v>
      </c>
      <c r="J82" t="str">
        <f t="shared" si="5"/>
        <v>'COMMERCIAL STUDENT': 'PILOT',</v>
      </c>
    </row>
    <row r="83" spans="1:10" x14ac:dyDescent="0.25">
      <c r="A83" t="s">
        <v>86</v>
      </c>
      <c r="B83" t="s">
        <v>82</v>
      </c>
      <c r="D83" s="1" t="s">
        <v>120</v>
      </c>
      <c r="E83" t="str">
        <f t="shared" si="3"/>
        <v>COMMERCIAL STUDENT PILOT</v>
      </c>
      <c r="F83" s="1" t="s">
        <v>121</v>
      </c>
      <c r="G83" t="str">
        <f t="shared" si="4"/>
        <v>PILOT</v>
      </c>
      <c r="H83" s="1" t="s">
        <v>122</v>
      </c>
      <c r="J83" t="str">
        <f t="shared" si="5"/>
        <v>'COMMERCIAL STUDENT PILOT': 'PILOT',</v>
      </c>
    </row>
    <row r="84" spans="1:10" x14ac:dyDescent="0.25">
      <c r="A84" t="s">
        <v>87</v>
      </c>
      <c r="B84" t="s">
        <v>82</v>
      </c>
      <c r="D84" s="1" t="s">
        <v>120</v>
      </c>
      <c r="E84" t="str">
        <f t="shared" si="3"/>
        <v>CPL STUDENT</v>
      </c>
      <c r="F84" s="1" t="s">
        <v>121</v>
      </c>
      <c r="G84" t="str">
        <f t="shared" si="4"/>
        <v>PILOT</v>
      </c>
      <c r="H84" s="1" t="s">
        <v>122</v>
      </c>
      <c r="J84" t="str">
        <f t="shared" si="5"/>
        <v>'CPL STUDENT': 'PILOT',</v>
      </c>
    </row>
    <row r="85" spans="1:10" x14ac:dyDescent="0.25">
      <c r="A85" t="s">
        <v>88</v>
      </c>
      <c r="B85" t="s">
        <v>82</v>
      </c>
      <c r="D85" s="1" t="s">
        <v>120</v>
      </c>
      <c r="E85" t="str">
        <f t="shared" si="3"/>
        <v>DEADHEADING PILOT</v>
      </c>
      <c r="F85" s="1" t="s">
        <v>121</v>
      </c>
      <c r="G85" t="str">
        <f t="shared" si="4"/>
        <v>PILOT</v>
      </c>
      <c r="H85" s="1" t="s">
        <v>122</v>
      </c>
      <c r="J85" t="str">
        <f t="shared" si="5"/>
        <v>'DEADHEADING PILOT': 'PILOT',</v>
      </c>
    </row>
    <row r="86" spans="1:10" x14ac:dyDescent="0.25">
      <c r="A86" t="s">
        <v>89</v>
      </c>
      <c r="B86" t="s">
        <v>82</v>
      </c>
      <c r="D86" s="1" t="s">
        <v>120</v>
      </c>
      <c r="E86" t="str">
        <f t="shared" si="3"/>
        <v>DRONE OPERATOR</v>
      </c>
      <c r="F86" s="1" t="s">
        <v>121</v>
      </c>
      <c r="G86" t="str">
        <f t="shared" si="4"/>
        <v>PILOT</v>
      </c>
      <c r="H86" s="1" t="s">
        <v>122</v>
      </c>
      <c r="J86" t="str">
        <f t="shared" si="5"/>
        <v>'DRONE OPERATOR': 'PILOT',</v>
      </c>
    </row>
    <row r="87" spans="1:10" x14ac:dyDescent="0.25">
      <c r="A87" t="s">
        <v>90</v>
      </c>
      <c r="B87" t="s">
        <v>82</v>
      </c>
      <c r="D87" s="1" t="s">
        <v>120</v>
      </c>
      <c r="E87" t="str">
        <f t="shared" si="3"/>
        <v>FIRST OFFICER</v>
      </c>
      <c r="F87" s="1" t="s">
        <v>121</v>
      </c>
      <c r="G87" t="str">
        <f t="shared" si="4"/>
        <v>PILOT</v>
      </c>
      <c r="H87" s="1" t="s">
        <v>122</v>
      </c>
      <c r="J87" t="str">
        <f t="shared" si="5"/>
        <v>'FIRST OFFICER': 'PILOT',</v>
      </c>
    </row>
    <row r="88" spans="1:10" x14ac:dyDescent="0.25">
      <c r="A88" t="s">
        <v>91</v>
      </c>
      <c r="B88" t="s">
        <v>82</v>
      </c>
      <c r="D88" s="1" t="s">
        <v>120</v>
      </c>
      <c r="E88" t="str">
        <f t="shared" si="3"/>
        <v>HELIPORT MANAGER &amp; PILOT</v>
      </c>
      <c r="F88" s="1" t="s">
        <v>121</v>
      </c>
      <c r="G88" t="str">
        <f t="shared" si="4"/>
        <v>PILOT</v>
      </c>
      <c r="H88" s="1" t="s">
        <v>122</v>
      </c>
      <c r="J88" t="str">
        <f t="shared" si="5"/>
        <v>'HELIPORT MANAGER &amp; PILOT': 'PILOT',</v>
      </c>
    </row>
    <row r="89" spans="1:10" x14ac:dyDescent="0.25">
      <c r="A89" t="s">
        <v>92</v>
      </c>
      <c r="B89" t="s">
        <v>82</v>
      </c>
      <c r="D89" s="1" t="s">
        <v>120</v>
      </c>
      <c r="E89" t="str">
        <f t="shared" si="3"/>
        <v>INSTRUCTOR</v>
      </c>
      <c r="F89" s="1" t="s">
        <v>121</v>
      </c>
      <c r="G89" t="str">
        <f t="shared" si="4"/>
        <v>PILOT</v>
      </c>
      <c r="H89" s="1" t="s">
        <v>122</v>
      </c>
      <c r="J89" t="str">
        <f t="shared" si="5"/>
        <v>'INSTRUCTOR': 'PILOT',</v>
      </c>
    </row>
    <row r="90" spans="1:10" x14ac:dyDescent="0.25">
      <c r="A90" t="s">
        <v>93</v>
      </c>
      <c r="B90" t="s">
        <v>82</v>
      </c>
      <c r="D90" s="1" t="s">
        <v>120</v>
      </c>
      <c r="E90" t="str">
        <f t="shared" si="3"/>
        <v>MULTI-ENGINE STUDENT</v>
      </c>
      <c r="F90" s="1" t="s">
        <v>121</v>
      </c>
      <c r="G90" t="str">
        <f t="shared" si="4"/>
        <v>PILOT</v>
      </c>
      <c r="H90" s="1" t="s">
        <v>122</v>
      </c>
      <c r="J90" t="str">
        <f t="shared" si="5"/>
        <v>'MULTI-ENGINE STUDENT': 'PILOT',</v>
      </c>
    </row>
    <row r="91" spans="1:10" x14ac:dyDescent="0.25">
      <c r="A91" t="s">
        <v>94</v>
      </c>
      <c r="B91" t="s">
        <v>82</v>
      </c>
      <c r="D91" s="1" t="s">
        <v>120</v>
      </c>
      <c r="E91" t="str">
        <f t="shared" si="3"/>
        <v>PARAMOTOR PILOT</v>
      </c>
      <c r="F91" s="1" t="s">
        <v>121</v>
      </c>
      <c r="G91" t="str">
        <f t="shared" si="4"/>
        <v>PILOT</v>
      </c>
      <c r="H91" s="1" t="s">
        <v>122</v>
      </c>
      <c r="J91" t="str">
        <f t="shared" si="5"/>
        <v>'PARAMOTOR PILOT': 'PILOT',</v>
      </c>
    </row>
    <row r="92" spans="1:10" x14ac:dyDescent="0.25">
      <c r="A92" t="s">
        <v>95</v>
      </c>
      <c r="B92" t="s">
        <v>82</v>
      </c>
      <c r="D92" s="1" t="s">
        <v>120</v>
      </c>
      <c r="E92" t="str">
        <f t="shared" si="3"/>
        <v>PERSON MANIPULATING CONTROLS (UAS)</v>
      </c>
      <c r="F92" s="1" t="s">
        <v>121</v>
      </c>
      <c r="G92" t="str">
        <f t="shared" si="4"/>
        <v>PILOT</v>
      </c>
      <c r="H92" s="1" t="s">
        <v>122</v>
      </c>
      <c r="J92" t="str">
        <f t="shared" si="5"/>
        <v>'PERSON MANIPULATING CONTROLS (UAS)': 'PILOT',</v>
      </c>
    </row>
    <row r="93" spans="1:10" x14ac:dyDescent="0.25">
      <c r="A93" t="s">
        <v>96</v>
      </c>
      <c r="B93" t="s">
        <v>82</v>
      </c>
      <c r="D93" s="1" t="s">
        <v>120</v>
      </c>
      <c r="E93" t="str">
        <f t="shared" si="3"/>
        <v>PIC</v>
      </c>
      <c r="F93" s="1" t="s">
        <v>121</v>
      </c>
      <c r="G93" t="str">
        <f t="shared" si="4"/>
        <v>PILOT</v>
      </c>
      <c r="H93" s="1" t="s">
        <v>122</v>
      </c>
      <c r="J93" t="str">
        <f t="shared" si="5"/>
        <v>'PIC': 'PILOT',</v>
      </c>
    </row>
    <row r="94" spans="1:10" x14ac:dyDescent="0.25">
      <c r="A94" t="s">
        <v>97</v>
      </c>
      <c r="B94" t="s">
        <v>82</v>
      </c>
      <c r="D94" s="1" t="s">
        <v>120</v>
      </c>
      <c r="E94" t="str">
        <f t="shared" si="3"/>
        <v>PIC DURING TIME BUILD</v>
      </c>
      <c r="F94" s="1" t="s">
        <v>121</v>
      </c>
      <c r="G94" t="str">
        <f t="shared" si="4"/>
        <v>PILOT</v>
      </c>
      <c r="H94" s="1" t="s">
        <v>122</v>
      </c>
      <c r="J94" t="str">
        <f t="shared" si="5"/>
        <v>'PIC DURING TIME BUILD': 'PILOT',</v>
      </c>
    </row>
    <row r="95" spans="1:10" x14ac:dyDescent="0.25">
      <c r="A95" t="s">
        <v>98</v>
      </c>
      <c r="B95" t="s">
        <v>82</v>
      </c>
      <c r="D95" s="1" t="s">
        <v>120</v>
      </c>
      <c r="E95" t="str">
        <f t="shared" si="3"/>
        <v>PIC NOT FLYING</v>
      </c>
      <c r="F95" s="1" t="s">
        <v>121</v>
      </c>
      <c r="G95" t="str">
        <f t="shared" si="4"/>
        <v>PILOT</v>
      </c>
      <c r="H95" s="1" t="s">
        <v>122</v>
      </c>
      <c r="J95" t="str">
        <f t="shared" si="5"/>
        <v>'PIC NOT FLYING': 'PILOT',</v>
      </c>
    </row>
    <row r="96" spans="1:10" x14ac:dyDescent="0.25">
      <c r="A96" t="s">
        <v>99</v>
      </c>
      <c r="B96" t="s">
        <v>82</v>
      </c>
      <c r="D96" s="1" t="s">
        <v>120</v>
      </c>
      <c r="E96" t="str">
        <f t="shared" si="3"/>
        <v>PIC ON A CHECKRIDE</v>
      </c>
      <c r="F96" s="1" t="s">
        <v>121</v>
      </c>
      <c r="G96" t="str">
        <f t="shared" si="4"/>
        <v>PILOT</v>
      </c>
      <c r="H96" s="1" t="s">
        <v>122</v>
      </c>
      <c r="J96" t="str">
        <f t="shared" si="5"/>
        <v>'PIC ON A CHECKRIDE': 'PILOT',</v>
      </c>
    </row>
    <row r="97" spans="1:10" x14ac:dyDescent="0.25">
      <c r="A97" t="s">
        <v>100</v>
      </c>
      <c r="B97" t="s">
        <v>82</v>
      </c>
      <c r="D97" s="1" t="s">
        <v>120</v>
      </c>
      <c r="E97" t="str">
        <f t="shared" si="3"/>
        <v>PILOT FLYING</v>
      </c>
      <c r="F97" s="1" t="s">
        <v>121</v>
      </c>
      <c r="G97" t="str">
        <f t="shared" si="4"/>
        <v>PILOT</v>
      </c>
      <c r="H97" s="1" t="s">
        <v>122</v>
      </c>
      <c r="J97" t="str">
        <f t="shared" si="5"/>
        <v>'PILOT FLYING': 'PILOT',</v>
      </c>
    </row>
    <row r="98" spans="1:10" x14ac:dyDescent="0.25">
      <c r="A98" t="s">
        <v>101</v>
      </c>
      <c r="B98" t="s">
        <v>82</v>
      </c>
      <c r="D98" s="1" t="s">
        <v>120</v>
      </c>
      <c r="E98" t="str">
        <f t="shared" si="3"/>
        <v>PILOT IN FOGGLES</v>
      </c>
      <c r="F98" s="1" t="s">
        <v>121</v>
      </c>
      <c r="G98" t="str">
        <f t="shared" si="4"/>
        <v>PILOT</v>
      </c>
      <c r="H98" s="1" t="s">
        <v>122</v>
      </c>
      <c r="J98" t="str">
        <f t="shared" si="5"/>
        <v>'PILOT IN FOGGLES': 'PILOT',</v>
      </c>
    </row>
    <row r="99" spans="1:10" x14ac:dyDescent="0.25">
      <c r="A99" t="s">
        <v>102</v>
      </c>
      <c r="B99" t="s">
        <v>82</v>
      </c>
      <c r="D99" s="1" t="s">
        <v>120</v>
      </c>
      <c r="E99" t="str">
        <f t="shared" si="3"/>
        <v>PILOT NOT FLYING</v>
      </c>
      <c r="F99" s="1" t="s">
        <v>121</v>
      </c>
      <c r="G99" t="str">
        <f t="shared" si="4"/>
        <v>PILOT</v>
      </c>
      <c r="H99" s="1" t="s">
        <v>122</v>
      </c>
      <c r="J99" t="str">
        <f t="shared" si="5"/>
        <v>'PILOT NOT FLYING': 'PILOT',</v>
      </c>
    </row>
    <row r="100" spans="1:10" x14ac:dyDescent="0.25">
      <c r="A100" t="s">
        <v>103</v>
      </c>
      <c r="B100" t="s">
        <v>82</v>
      </c>
      <c r="D100" s="1" t="s">
        <v>120</v>
      </c>
      <c r="E100" t="str">
        <f t="shared" si="3"/>
        <v>PILOT RECIVING TYPE TRN</v>
      </c>
      <c r="F100" s="1" t="s">
        <v>121</v>
      </c>
      <c r="G100" t="str">
        <f t="shared" si="4"/>
        <v>PILOT</v>
      </c>
      <c r="H100" s="1" t="s">
        <v>122</v>
      </c>
      <c r="J100" t="str">
        <f t="shared" si="5"/>
        <v>'PILOT RECIVING TYPE TRN': 'PILOT',</v>
      </c>
    </row>
    <row r="101" spans="1:10" x14ac:dyDescent="0.25">
      <c r="A101" t="s">
        <v>104</v>
      </c>
      <c r="B101" t="s">
        <v>82</v>
      </c>
      <c r="D101" s="1" t="s">
        <v>120</v>
      </c>
      <c r="E101" t="str">
        <f t="shared" si="3"/>
        <v>PRIV. PILOT W/ INSTRUCTOR</v>
      </c>
      <c r="F101" s="1" t="s">
        <v>121</v>
      </c>
      <c r="G101" t="str">
        <f t="shared" si="4"/>
        <v>PILOT</v>
      </c>
      <c r="H101" s="1" t="s">
        <v>122</v>
      </c>
      <c r="J101" t="str">
        <f t="shared" si="5"/>
        <v>'PRIV. PILOT W/ INSTRUCTOR': 'PILOT',</v>
      </c>
    </row>
    <row r="102" spans="1:10" x14ac:dyDescent="0.25">
      <c r="A102" t="s">
        <v>105</v>
      </c>
      <c r="B102" t="s">
        <v>82</v>
      </c>
      <c r="D102" s="1" t="s">
        <v>120</v>
      </c>
      <c r="E102" t="str">
        <f t="shared" si="3"/>
        <v>PRIVATE PILOT</v>
      </c>
      <c r="F102" s="1" t="s">
        <v>121</v>
      </c>
      <c r="G102" t="str">
        <f t="shared" si="4"/>
        <v>PILOT</v>
      </c>
      <c r="H102" s="1" t="s">
        <v>122</v>
      </c>
      <c r="J102" t="str">
        <f t="shared" si="5"/>
        <v>'PRIVATE PILOT': 'PILOT',</v>
      </c>
    </row>
    <row r="103" spans="1:10" x14ac:dyDescent="0.25">
      <c r="A103" t="s">
        <v>106</v>
      </c>
      <c r="B103" t="s">
        <v>82</v>
      </c>
      <c r="D103" s="1" t="s">
        <v>120</v>
      </c>
      <c r="E103" t="str">
        <f t="shared" si="3"/>
        <v>RELIEF PILOT</v>
      </c>
      <c r="F103" s="1" t="s">
        <v>121</v>
      </c>
      <c r="G103" t="str">
        <f t="shared" si="4"/>
        <v>PILOT</v>
      </c>
      <c r="H103" s="1" t="s">
        <v>122</v>
      </c>
      <c r="J103" t="str">
        <f t="shared" si="5"/>
        <v>'RELIEF PILOT': 'PILOT',</v>
      </c>
    </row>
    <row r="104" spans="1:10" x14ac:dyDescent="0.25">
      <c r="A104" t="s">
        <v>107</v>
      </c>
      <c r="B104" t="s">
        <v>82</v>
      </c>
      <c r="D104" s="1" t="s">
        <v>120</v>
      </c>
      <c r="E104" t="str">
        <f t="shared" si="3"/>
        <v>REMOTE PIC (UAS)</v>
      </c>
      <c r="F104" s="1" t="s">
        <v>121</v>
      </c>
      <c r="G104" t="str">
        <f t="shared" si="4"/>
        <v>PILOT</v>
      </c>
      <c r="H104" s="1" t="s">
        <v>122</v>
      </c>
      <c r="J104" t="str">
        <f t="shared" si="5"/>
        <v>'REMOTE PIC (UAS)': 'PILOT',</v>
      </c>
    </row>
    <row r="105" spans="1:10" x14ac:dyDescent="0.25">
      <c r="A105" t="s">
        <v>108</v>
      </c>
      <c r="B105" t="s">
        <v>82</v>
      </c>
      <c r="D105" s="1" t="s">
        <v>120</v>
      </c>
      <c r="E105" t="str">
        <f t="shared" si="3"/>
        <v>REMOTE PILOT</v>
      </c>
      <c r="F105" s="1" t="s">
        <v>121</v>
      </c>
      <c r="G105" t="str">
        <f t="shared" si="4"/>
        <v>PILOT</v>
      </c>
      <c r="H105" s="1" t="s">
        <v>122</v>
      </c>
      <c r="J105" t="str">
        <f t="shared" si="5"/>
        <v>'REMOTE PILOT': 'PILOT',</v>
      </c>
    </row>
    <row r="106" spans="1:10" x14ac:dyDescent="0.25">
      <c r="A106" t="s">
        <v>109</v>
      </c>
      <c r="B106" t="s">
        <v>82</v>
      </c>
      <c r="D106" s="1" t="s">
        <v>120</v>
      </c>
      <c r="E106" t="str">
        <f t="shared" si="3"/>
        <v>SINGLE PILOT</v>
      </c>
      <c r="F106" s="1" t="s">
        <v>121</v>
      </c>
      <c r="G106" t="str">
        <f t="shared" si="4"/>
        <v>PILOT</v>
      </c>
      <c r="H106" s="1" t="s">
        <v>122</v>
      </c>
      <c r="J106" t="str">
        <f t="shared" si="5"/>
        <v>'SINGLE PILOT': 'PILOT',</v>
      </c>
    </row>
    <row r="107" spans="1:10" x14ac:dyDescent="0.25">
      <c r="A107" t="s">
        <v>110</v>
      </c>
      <c r="B107" t="s">
        <v>82</v>
      </c>
      <c r="D107" s="1" t="s">
        <v>120</v>
      </c>
      <c r="E107" t="str">
        <f t="shared" si="3"/>
        <v>SOLO STUDENT</v>
      </c>
      <c r="F107" s="1" t="s">
        <v>121</v>
      </c>
      <c r="G107" t="str">
        <f t="shared" si="4"/>
        <v>PILOT</v>
      </c>
      <c r="H107" s="1" t="s">
        <v>122</v>
      </c>
      <c r="J107" t="str">
        <f t="shared" si="5"/>
        <v>'SOLO STUDENT': 'PILOT',</v>
      </c>
    </row>
    <row r="108" spans="1:10" x14ac:dyDescent="0.25">
      <c r="A108" t="s">
        <v>111</v>
      </c>
      <c r="B108" t="s">
        <v>82</v>
      </c>
      <c r="D108" s="1" t="s">
        <v>120</v>
      </c>
      <c r="E108" t="str">
        <f t="shared" si="3"/>
        <v>STUDENT</v>
      </c>
      <c r="F108" s="1" t="s">
        <v>121</v>
      </c>
      <c r="G108" t="str">
        <f t="shared" si="4"/>
        <v>PILOT</v>
      </c>
      <c r="H108" s="1" t="s">
        <v>122</v>
      </c>
      <c r="J108" t="str">
        <f t="shared" si="5"/>
        <v>'STUDENT': 'PILOT',</v>
      </c>
    </row>
    <row r="109" spans="1:10" x14ac:dyDescent="0.25">
      <c r="A109" t="s">
        <v>112</v>
      </c>
      <c r="B109" t="s">
        <v>82</v>
      </c>
      <c r="D109" s="1" t="s">
        <v>120</v>
      </c>
      <c r="E109" t="str">
        <f t="shared" si="3"/>
        <v>STUDENT PILOT</v>
      </c>
      <c r="F109" s="1" t="s">
        <v>121</v>
      </c>
      <c r="G109" t="str">
        <f t="shared" si="4"/>
        <v>PILOT</v>
      </c>
      <c r="H109" s="1" t="s">
        <v>122</v>
      </c>
      <c r="J109" t="str">
        <f t="shared" si="5"/>
        <v>'STUDENT PILOT': 'PILOT',</v>
      </c>
    </row>
    <row r="110" spans="1:10" x14ac:dyDescent="0.25">
      <c r="A110" t="s">
        <v>113</v>
      </c>
      <c r="B110" t="s">
        <v>82</v>
      </c>
      <c r="D110" s="1" t="s">
        <v>120</v>
      </c>
      <c r="E110" t="str">
        <f t="shared" si="3"/>
        <v>STUDENT PILOT &amp; INSTR</v>
      </c>
      <c r="F110" s="1" t="s">
        <v>121</v>
      </c>
      <c r="G110" t="str">
        <f t="shared" si="4"/>
        <v>PILOT</v>
      </c>
      <c r="H110" s="1" t="s">
        <v>122</v>
      </c>
      <c r="J110" t="str">
        <f t="shared" si="5"/>
        <v>'STUDENT PILOT &amp; INSTR': 'PILOT',</v>
      </c>
    </row>
    <row r="111" spans="1:10" x14ac:dyDescent="0.25">
      <c r="A111" t="s">
        <v>114</v>
      </c>
      <c r="B111" t="s">
        <v>82</v>
      </c>
      <c r="D111" s="1" t="s">
        <v>120</v>
      </c>
      <c r="E111" t="str">
        <f t="shared" si="3"/>
        <v>STUDENT PILOT W/ CFI</v>
      </c>
      <c r="F111" s="1" t="s">
        <v>121</v>
      </c>
      <c r="G111" t="str">
        <f t="shared" si="4"/>
        <v>PILOT</v>
      </c>
      <c r="H111" s="1" t="s">
        <v>122</v>
      </c>
      <c r="J111" t="str">
        <f t="shared" si="5"/>
        <v>'STUDENT PILOT W/ CFI': 'PILOT',</v>
      </c>
    </row>
    <row r="112" spans="1:10" x14ac:dyDescent="0.25">
      <c r="A112" t="s">
        <v>115</v>
      </c>
      <c r="B112" t="s">
        <v>82</v>
      </c>
      <c r="D112" s="1" t="s">
        <v>120</v>
      </c>
      <c r="E112" t="str">
        <f t="shared" si="3"/>
        <v>STUDENT SOLO PILOT</v>
      </c>
      <c r="F112" s="1" t="s">
        <v>121</v>
      </c>
      <c r="G112" t="str">
        <f t="shared" si="4"/>
        <v>PILOT</v>
      </c>
      <c r="H112" s="1" t="s">
        <v>122</v>
      </c>
      <c r="J112" t="str">
        <f t="shared" si="5"/>
        <v>'STUDENT SOLO PILOT': 'PILOT',</v>
      </c>
    </row>
    <row r="113" spans="1:10" x14ac:dyDescent="0.25">
      <c r="A113" t="s">
        <v>116</v>
      </c>
      <c r="B113" t="s">
        <v>82</v>
      </c>
      <c r="D113" s="1" t="s">
        <v>120</v>
      </c>
      <c r="E113" t="str">
        <f t="shared" si="3"/>
        <v>TRAINEE</v>
      </c>
      <c r="F113" s="1" t="s">
        <v>121</v>
      </c>
      <c r="G113" t="str">
        <f t="shared" si="4"/>
        <v>PILOT</v>
      </c>
      <c r="H113" s="1" t="s">
        <v>122</v>
      </c>
      <c r="J113" t="str">
        <f t="shared" si="5"/>
        <v>'TRAINEE': 'PILOT',</v>
      </c>
    </row>
    <row r="114" spans="1:10" x14ac:dyDescent="0.25">
      <c r="A114" t="s">
        <v>117</v>
      </c>
      <c r="B114" t="s">
        <v>82</v>
      </c>
      <c r="D114" s="1" t="s">
        <v>120</v>
      </c>
      <c r="E114" t="str">
        <f t="shared" si="3"/>
        <v>UAS SUPERVISOR</v>
      </c>
      <c r="F114" s="1" t="s">
        <v>121</v>
      </c>
      <c r="G114" t="str">
        <f t="shared" si="4"/>
        <v>PILOT</v>
      </c>
      <c r="H114" s="1" t="s">
        <v>122</v>
      </c>
      <c r="J114" t="str">
        <f t="shared" si="5"/>
        <v>'UAS SUPERVISOR': 'PILOT',</v>
      </c>
    </row>
    <row r="115" spans="1:10" x14ac:dyDescent="0.25">
      <c r="A115" t="s">
        <v>118</v>
      </c>
      <c r="B115" t="s">
        <v>82</v>
      </c>
      <c r="D115" s="1" t="s">
        <v>120</v>
      </c>
      <c r="E115" t="str">
        <f t="shared" si="3"/>
        <v>VISUAL OBSERVER (UAS)</v>
      </c>
      <c r="F115" s="1" t="s">
        <v>121</v>
      </c>
      <c r="G115" t="str">
        <f t="shared" si="4"/>
        <v>PILOT</v>
      </c>
      <c r="H115" s="1" t="s">
        <v>122</v>
      </c>
      <c r="J115" t="str">
        <f t="shared" si="5"/>
        <v>'VISUAL OBSERVER (UAS)': 'PILOT',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Mapping w concat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Jasmine (qac2hn)</dc:creator>
  <cp:lastModifiedBy>Wu, Jasmine (qac2hn)</cp:lastModifiedBy>
  <dcterms:created xsi:type="dcterms:W3CDTF">2026-07-08T13:23:21Z</dcterms:created>
  <dcterms:modified xsi:type="dcterms:W3CDTF">2026-07-08T13:24:44Z</dcterms:modified>
</cp:coreProperties>
</file>